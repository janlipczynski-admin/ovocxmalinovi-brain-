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estawienie cen i stanów mag." sheetId="1" r:id="rId4"/>
    <sheet state="visible" name="CENY NA SEZON 2025" sheetId="2" r:id="rId5"/>
    <sheet state="visible" name="Infia - wycena" sheetId="3" r:id="rId6"/>
    <sheet state="visible" name="Guillin - wycena" sheetId="4" r:id="rId7"/>
    <sheet state="visible" name="ŁOBŻENICA" sheetId="5" r:id="rId8"/>
    <sheet state="visible" name="STRÓŻEWO" sheetId="6" r:id="rId9"/>
    <sheet state="visible" name="WYSZYNKI" sheetId="7" r:id="rId10"/>
    <sheet state="visible" name="Arkusz4" sheetId="8" r:id="rId11"/>
  </sheets>
  <definedNames>
    <definedName hidden="1" localSheetId="0" name="_xlnm._FilterDatabase">'Zestawienie cen i stanów mag.'!$A$1:$P$1</definedName>
    <definedName hidden="1" localSheetId="1" name="_xlnm._FilterDatabase">'CENY NA SEZON 2025'!$A$2:$Z$70</definedName>
    <definedName hidden="1" localSheetId="2" name="_xlnm._FilterDatabase">'Infia - wycena'!$A$1:$B$1</definedName>
    <definedName hidden="1" localSheetId="4" name="_xlnm._FilterDatabase">'ŁOBŻENICA'!$A$1:$Y$69</definedName>
    <definedName hidden="1" localSheetId="5" name="_xlnm._FilterDatabase">'STRÓŻEWO'!$A$1:$X$1</definedName>
    <definedName hidden="1" localSheetId="6" name="_xlnm._FilterDatabase">WYSZYNKI!$A$1:$X$1</definedName>
    <definedName hidden="1" localSheetId="7" name="_xlnm._FilterDatabase">Arkusz4!$A$1:$I$36</definedName>
  </definedNames>
  <calcPr/>
  <extLst>
    <ext uri="GoogleSheetsCustomDataVersion2">
      <go:sheetsCustomData xmlns:go="http://customooxmlschemas.google.com/" r:id="rId12" roundtripDataChecksum="ri+aY8ZlvbVw9rKXnKvLOCI9apzDhbuL/M8jxprjos0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P51">
      <text>
        <t xml:space="preserve">======
ID#AAABgocnMEU
Renata Amanowicz    (2025-04-14 11:57:21)
@m.pluta@rubijuice.com @przemek@i-grow.com.pl proszę o podanie ilości jakie zamówić.
_Przypisano użytkownikowi m.pluta@rubijuice.com_</t>
      </text>
    </comment>
    <comment authorId="0" ref="P56">
      <text>
        <t xml:space="preserve">======
ID#AAABgocnMEQ
Renata Amanowicz    (2025-04-14 11:56:18)
@m.pluta@rubijuice.com @przemek@i-grow.com.pl proszę o podanie ilości jakie zamówić.</t>
      </text>
    </comment>
  </commentList>
  <extLst>
    <ext uri="GoogleSheetsCustomDataVersion2">
      <go:sheetsCustomData xmlns:go="http://customooxmlschemas.google.com/" r:id="rId1" roundtripDataSignature="AMtx7mg+RGQSGBbX5uc8LzDBXpAr26SSHw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3">
      <text>
        <t xml:space="preserve">======
ID#AAABgcubscY
tc={1D0C8990-3424-4277-912C-4FF7C87FB861}    (2025-03-17 17:33:58)
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Zamiennik K37 F H50 RPET PAD-ROS</t>
      </text>
    </comment>
    <comment authorId="0" ref="B22">
      <text>
        <t xml:space="preserve">======
ID#AAABgcubscU
tc={0C2D1537-E9F6-4820-AE50-FEEC2EB881F2}    (2025-03-17 17:33:58)
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Zamiennik K29 H26 RPET PAD-ROS NUM</t>
      </text>
    </comment>
    <comment authorId="0" ref="B17">
      <text>
        <t xml:space="preserve">======
ID#AAABgcubscQ
tc={0D712191-46DB-4E0E-9070-DD2AB880F418}    (2025-03-17 17:33:58)
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Zamiennik F-1912/TS-50 ALF PET ABS ROJ</t>
      </text>
    </comment>
    <comment authorId="0" ref="B28">
      <text>
        <t xml:space="preserve">======
ID#AAABgcubscM
tc={5E6F6593-C232-439D-9161-AFDCC1727DFF}    (2025-03-17 17:33:58)
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Zamiennik K29 H26 RPET PAD-NER NUM</t>
      </text>
    </comment>
    <comment authorId="0" ref="B20">
      <text>
        <t xml:space="preserve">======
ID#AAABgcubscI
tc={850F35CA-7CB9-4CD5-A615-711C01C0CCBB}    (2025-03-17 17:33:58)
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Zamiennik K37 F H40 RPET PAD-ROS</t>
      </text>
    </comment>
    <comment authorId="0" ref="B16">
      <text>
        <t xml:space="preserve">======
ID#AAABgcubscE
tc={5FFDDD27-5353-41B0-8A49-9C43F9A9A5CF}    (2025-03-17 17:33:58)
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Zamiennik F-1912/TS-40 ALF PET ABS ROJ</t>
      </text>
    </comment>
    <comment authorId="0" ref="B5">
      <text>
        <t xml:space="preserve">======
ID#AAABgcubscA
tc={2C157709-AF4D-4934-A2A1-A82C329E42A4}    (2025-03-17 17:33:58)
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Zamiennik F-500/N-26 AF PET ABS NEG</t>
      </text>
    </comment>
    <comment authorId="0" ref="B8">
      <text>
        <t xml:space="preserve">======
ID#AAABgcubsb8
tc={7AD36AA8-4604-4335-BE8A-0874639BC509}    (2025-03-17 17:33:58)
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Zamiennik F-500/N-26 AF PET RED ABS</t>
      </text>
    </comment>
    <comment authorId="0" ref="B18">
      <text>
        <t xml:space="preserve">======
ID#AAABgcubsW4
tc={ACD80627-1353-4CE8-871C-FD6D94CCC6DA}    (2025-03-17 17:33:58)
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Zamiennik F-1912/TS-50 ALF PET</t>
      </text>
    </comment>
  </commentList>
  <extLst>
    <ext uri="GoogleSheetsCustomDataVersion2">
      <go:sheetsCustomData xmlns:go="http://customooxmlschemas.google.com/" r:id="rId1" roundtripDataSignature="AMtx7mibS9+NRHlK4tNTjV/Eri4xDBk6kw=="/>
    </ext>
  </extLst>
</comments>
</file>

<file path=xl/sharedStrings.xml><?xml version="1.0" encoding="utf-8"?>
<sst xmlns="http://schemas.openxmlformats.org/spreadsheetml/2006/main" count="2441" uniqueCount="261">
  <si>
    <t>Asortyment-Nazwa</t>
  </si>
  <si>
    <t>Indeks</t>
  </si>
  <si>
    <t>Uwaga</t>
  </si>
  <si>
    <t>Nazwa</t>
  </si>
  <si>
    <t>Identyfikator</t>
  </si>
  <si>
    <t>Producent-Nazwa</t>
  </si>
  <si>
    <t>Stan ŁOB.</t>
  </si>
  <si>
    <t>Stan STR.</t>
  </si>
  <si>
    <t>Stan WYSZ.</t>
  </si>
  <si>
    <t>Stan TOTAL</t>
  </si>
  <si>
    <t>Ostatnia cena zakupu</t>
  </si>
  <si>
    <t>Il. w opak.</t>
  </si>
  <si>
    <t>INFIA/GULLIN</t>
  </si>
  <si>
    <t>CENA INFII</t>
  </si>
  <si>
    <t>CENA GULLIN</t>
  </si>
  <si>
    <t>Opakowania-Jednostkowe</t>
  </si>
  <si>
    <t>F-250/I-49 PET MAXIPACK A</t>
  </si>
  <si>
    <t>Pojemik malina 250g z czerwonym wkładem - wysoki włoski</t>
  </si>
  <si>
    <t>105C25000001019</t>
  </si>
  <si>
    <t>Guillin</t>
  </si>
  <si>
    <t>IF-110CP TR. 1000 MAXIPAC</t>
  </si>
  <si>
    <t>Pojemnik 1kg</t>
  </si>
  <si>
    <t>F-500/N-TS-34 AF PET ABSR</t>
  </si>
  <si>
    <t>Tak</t>
  </si>
  <si>
    <t>Pojemnik malina 125g TS z czerwonym wkładem</t>
  </si>
  <si>
    <t>105C54051000119</t>
  </si>
  <si>
    <t>F-500/N-26 AF PET ABS NEG</t>
  </si>
  <si>
    <t>Pojemnik malina 125g z czarnym wkładem "KWADRAT"</t>
  </si>
  <si>
    <t>105C54100200009</t>
  </si>
  <si>
    <t>F-500/N-26 AF PET RED ABS</t>
  </si>
  <si>
    <t>Pojemnik malina 125g z czerwonym wkładem "KWADRAT"</t>
  </si>
  <si>
    <t>105C54100100009</t>
  </si>
  <si>
    <t>F-125/I-30 AF PET ABS RED</t>
  </si>
  <si>
    <t>Pojemnik malina 125g, "mydelniczka" włoska z czerwonym wkładem</t>
  </si>
  <si>
    <t>105C12500011000</t>
  </si>
  <si>
    <t>F-1912/TS-40 ALF PET</t>
  </si>
  <si>
    <t>Pojemnik malina 200g bez wkładu (top seal)</t>
  </si>
  <si>
    <t>105B19120401100</t>
  </si>
  <si>
    <t>F-1912/TS-40 ALF PET ABS ROJ</t>
  </si>
  <si>
    <t>Pojemnik malina 200g z czerwonym wkładem (top seal)</t>
  </si>
  <si>
    <t>105B19120401109</t>
  </si>
  <si>
    <t>F-60/45 AL PET</t>
  </si>
  <si>
    <t>Pojemnik malina 250g (Austria) (top seal) "KWADRAT"</t>
  </si>
  <si>
    <t>105C56700110000</t>
  </si>
  <si>
    <t>F-1912/TS-50 ALF PET</t>
  </si>
  <si>
    <t>Pojemnik malina 250g bez wkładu (top seal)</t>
  </si>
  <si>
    <t>105B19120505100</t>
  </si>
  <si>
    <t>F-500/F-38 AF PET ABS ROJ</t>
  </si>
  <si>
    <t>Pojemnik malina 250g z czerwonym wkładem</t>
  </si>
  <si>
    <t>105C50381000209</t>
  </si>
  <si>
    <t>F-1912/TS-50 ALF PET ABS ROJ</t>
  </si>
  <si>
    <t>Pojemnik malina 250g z czerwonym wkładem (top seal)</t>
  </si>
  <si>
    <t>105B19120501009</t>
  </si>
  <si>
    <t>F-250/I-49 PET MP</t>
  </si>
  <si>
    <t>Pojemnik malina 250g z wkładem bąbelkowym</t>
  </si>
  <si>
    <t>105C25000010000</t>
  </si>
  <si>
    <t>F-500/F-38 AF PET</t>
  </si>
  <si>
    <t>Pojemnik malina 250g, bez wkładu</t>
  </si>
  <si>
    <t>105C50381000000</t>
  </si>
  <si>
    <t>K29 H26 RPET PAD-NER NUM/F-500/N-26 AF PET ABS NEG</t>
  </si>
  <si>
    <t>F-40/TS-36 AL PET</t>
  </si>
  <si>
    <t>Pojemnik na 125g</t>
  </si>
  <si>
    <t>105C40360000000</t>
  </si>
  <si>
    <t>K29 H26 RPET PAD-ROS NUM/F-500/N-26 AF PET RED ABS</t>
  </si>
  <si>
    <t>SP400/40 AL PET ABS ROJ</t>
  </si>
  <si>
    <t>Pojemnik na 300g z czerwonym wkładem "KWADRAT"</t>
  </si>
  <si>
    <t>105C40004000109</t>
  </si>
  <si>
    <t>F-1912/TS-60L ALF PET</t>
  </si>
  <si>
    <t>Pojemnik truskawka 250g bez wkładu (Lidl) (top seal)</t>
  </si>
  <si>
    <t>105B19120606600</t>
  </si>
  <si>
    <t>FM-58 SM MAXIPACK NERO</t>
  </si>
  <si>
    <t>Pojemnik truskawka 500g CZARNY</t>
  </si>
  <si>
    <t>F-500/F-58L AF PET ABSRED</t>
  </si>
  <si>
    <t>Pojemnik truskawka 500g z czerwonym wkładem, standard</t>
  </si>
  <si>
    <t>105C50000001009</t>
  </si>
  <si>
    <t>F-500/F-68 AF PET MP</t>
  </si>
  <si>
    <t>Pojemnik truskawka 500g z wkładem bąbelkowym (MP)</t>
  </si>
  <si>
    <t>105C56802000009</t>
  </si>
  <si>
    <t>F-1912/TS-85 ALF PET MP</t>
  </si>
  <si>
    <t>Pojemnik truskawka 500g z wkładem bąbelkowym (top seal)</t>
  </si>
  <si>
    <t>105B19122851009</t>
  </si>
  <si>
    <t>T-500/A-10 AFL PET</t>
  </si>
  <si>
    <t>Wieczko do pojemnika F500/F-38</t>
  </si>
  <si>
    <t>105C90500100001</t>
  </si>
  <si>
    <t>T-125/I-10 ALF PET</t>
  </si>
  <si>
    <t>Wieczko do pojemnika F-125/I-30</t>
  </si>
  <si>
    <t>105C90125030000</t>
  </si>
  <si>
    <t>T-250/I-15 PET</t>
  </si>
  <si>
    <t>Wieczko do pojemnika F-250/I-49 oraz F-125/I-30</t>
  </si>
  <si>
    <t>105C90250150000</t>
  </si>
  <si>
    <t>K37 F H40 RPET PAD-ROS/F-1912/TS-40 ALF PET ABS ROJ</t>
  </si>
  <si>
    <t>T-250/I-10 PET MAXIPACK TR.</t>
  </si>
  <si>
    <t>wieczko do pojemnika F-250/I-49 oraz F-125/I-30</t>
  </si>
  <si>
    <t>K37 F H50 RPET PAD-ROS/F-1912/TS-50 ALF PET ABS ROJ</t>
  </si>
  <si>
    <t>T-40/P AF PET</t>
  </si>
  <si>
    <t>Wieczko do pojemnika F-40/TS-36</t>
  </si>
  <si>
    <t>105C90040000000</t>
  </si>
  <si>
    <t>K37 H50 RPET/F-1912/TS-50 ALF PET</t>
  </si>
  <si>
    <t>T-500/A-15 PET</t>
  </si>
  <si>
    <t>Wieczko do pojemnika F-500/</t>
  </si>
  <si>
    <t>105C90500150000</t>
  </si>
  <si>
    <t>T-500/A-25 AL PET</t>
  </si>
  <si>
    <t>Wieczko do pojemnika F-500/F-58 i F-500/F-38 (najwyższe)</t>
  </si>
  <si>
    <t>105C90500250001</t>
  </si>
  <si>
    <t>T-500/N P AF PET</t>
  </si>
  <si>
    <t>Wieczko do pojemnika F-500/N TS-34</t>
  </si>
  <si>
    <t>105C93605000000</t>
  </si>
  <si>
    <t>T-500/N-8 AL PET</t>
  </si>
  <si>
    <t>Wieczko do pojemnika F-500/N-26</t>
  </si>
  <si>
    <t>105C93610000000</t>
  </si>
  <si>
    <t>T-60/P AF PET</t>
  </si>
  <si>
    <t>Wieczko do pojemnika F-60/45 (Austria) "KWADRAT"</t>
  </si>
  <si>
    <t>105C90200020000</t>
  </si>
  <si>
    <t>T-SF400 AL PET</t>
  </si>
  <si>
    <t>Wieczko do pojemnika SP400/40</t>
  </si>
  <si>
    <t>105C40003000000</t>
  </si>
  <si>
    <t>T-250/I-22 ALF PET</t>
  </si>
  <si>
    <t>Wieczko do pojemnika standardowego 125 i 250g</t>
  </si>
  <si>
    <t>105C90250220000</t>
  </si>
  <si>
    <t>T-500/A-25 PET FL MAXIPAC</t>
  </si>
  <si>
    <t>Wieczko do punetki 1kg</t>
  </si>
  <si>
    <t>T-1912/P AF PET</t>
  </si>
  <si>
    <t>Wieczko płaskie "0" do pojemnika F-1912</t>
  </si>
  <si>
    <t>105C90191210000</t>
  </si>
  <si>
    <t>TR80 H25 RPET PAD-NER</t>
  </si>
  <si>
    <t>125g włoskie czarna</t>
  </si>
  <si>
    <t>Infia</t>
  </si>
  <si>
    <t>F250 H38 RPET</t>
  </si>
  <si>
    <t>Pojemnik 250g bez wkładu płaskie</t>
  </si>
  <si>
    <t>TR80 H50 RPET PAD ROS</t>
  </si>
  <si>
    <t>Pojemnik 250g wysoki</t>
  </si>
  <si>
    <t>F250 H38 RPET PAD-ROS NUM</t>
  </si>
  <si>
    <t>Pojemnik 250g z czerwonym wkładem</t>
  </si>
  <si>
    <t>K62/3 H44 RPET F24</t>
  </si>
  <si>
    <t>Pojemnik 3 komory kwadrat</t>
  </si>
  <si>
    <t>K 37/3 H60 RPET</t>
  </si>
  <si>
    <t>Pojemnik 3 komory symetryczne 750g</t>
  </si>
  <si>
    <t>K29 H26 RPET PAD-NER NUM</t>
  </si>
  <si>
    <t>Pojemnik jeżyna z czarnym wkładem "KWADRAT"</t>
  </si>
  <si>
    <t>K29 H26 RPET</t>
  </si>
  <si>
    <t>Pojemnik malina 125g "KWADRAT"</t>
  </si>
  <si>
    <t>K29 H26 RPET PAD-ROS NUM</t>
  </si>
  <si>
    <t>TR80 H25 RPET PAD-ROS NUM</t>
  </si>
  <si>
    <t>Pojemnik malina 125g z czerwonym wkładem "włoskie"</t>
  </si>
  <si>
    <t>K28 F H40 RPET PAD-ROS</t>
  </si>
  <si>
    <t>Pojemnik malina 125g z czerwonym wkładem top seal</t>
  </si>
  <si>
    <t>K37 F H40 RPET PAD-ROS</t>
  </si>
  <si>
    <t>Pojemnik malina 200g z czerwoną wkładką (top seal)</t>
  </si>
  <si>
    <t>K37 H50 RPET</t>
  </si>
  <si>
    <t>Pojemnik malina 250g (top seal)</t>
  </si>
  <si>
    <t>K62 F H40 RPET PAD-ROS</t>
  </si>
  <si>
    <t>Pojemnik malina 250g z czerowym wkładem (Austria) (top seal) "KWADRAT"</t>
  </si>
  <si>
    <t>K62/40 RED PAD</t>
  </si>
  <si>
    <t>K37 F H50 RPET PAD-ROS</t>
  </si>
  <si>
    <t>Pojemnik malina 250g z czerwoną wkładką (top seal)</t>
  </si>
  <si>
    <t>K36 H110 RPET</t>
  </si>
  <si>
    <t>Pojemnik na 1kg</t>
  </si>
  <si>
    <t>F500 H60 RPET</t>
  </si>
  <si>
    <t>Pojemnik truskawka 500g bez wkładu</t>
  </si>
  <si>
    <t>F500 H60 RPET PAD-ROS</t>
  </si>
  <si>
    <t>Pojemnik truskawka 500g z czerwonym wkładem</t>
  </si>
  <si>
    <t>F500 H60 RPET PLUR</t>
  </si>
  <si>
    <t>Pojemnik truskawka 500g z wkładem bąbelkowym</t>
  </si>
  <si>
    <t>FCK H10 RPET</t>
  </si>
  <si>
    <t>Wieczko do pojemnika F250 H38 10mm wysokie</t>
  </si>
  <si>
    <t>FCK H15 RPET</t>
  </si>
  <si>
    <t>Wieczko do pojemnika F250 H38 15mm wysokie</t>
  </si>
  <si>
    <t>FCK H18 RPET</t>
  </si>
  <si>
    <t>Wieczko do pojemnika F500 H60 18mm wysokie</t>
  </si>
  <si>
    <t>FCK H22 RPET</t>
  </si>
  <si>
    <t>Wieczko do pojemnika F500 H60 22mm wysokie</t>
  </si>
  <si>
    <t>K29 CH8 RPET</t>
  </si>
  <si>
    <t>Wieczko do pojemnika K29 H26 "KWADRAT"</t>
  </si>
  <si>
    <t>K29-C H8 R-PET</t>
  </si>
  <si>
    <t>K62-CP RPET</t>
  </si>
  <si>
    <t>Wieczko do pojemnika K62/40 "KWADRAT"</t>
  </si>
  <si>
    <t>K62 CP/0 RPET</t>
  </si>
  <si>
    <t>TCK H15 RPET</t>
  </si>
  <si>
    <t>Wieczko do pojemnika TR80 włoskie</t>
  </si>
  <si>
    <t>FCP RPET</t>
  </si>
  <si>
    <t>Wieczko niskie (0) do K37</t>
  </si>
  <si>
    <t>TCRL H10 RPET</t>
  </si>
  <si>
    <t>Wieczko włoskie</t>
  </si>
  <si>
    <t>POJEMNIK CELULOZOWY F250</t>
  </si>
  <si>
    <t>Pojemnik celulozowy F250</t>
  </si>
  <si>
    <t>Openbox</t>
  </si>
  <si>
    <t>POJEMNIK CELULOZOWY F500</t>
  </si>
  <si>
    <t>Pojemnik celulozowy F500</t>
  </si>
  <si>
    <t>KOBIAŁKA 1000G</t>
  </si>
  <si>
    <t>KOBIAŁKA 1000G bez nadruków (brązowa)</t>
  </si>
  <si>
    <t>KOBIAŁKA 1000G (503-5EE-30-SS-N-02)</t>
  </si>
  <si>
    <t>Schumacher</t>
  </si>
  <si>
    <t>KOBIAŁKA 500G</t>
  </si>
  <si>
    <t>KOBIAŁKA 500G LIDL</t>
  </si>
  <si>
    <t>KOBIAŁKA 750G</t>
  </si>
  <si>
    <t>KOBIAŁKA 750G LIDL</t>
  </si>
  <si>
    <t>STAN NA DZIEŃ 03.04.2025</t>
  </si>
  <si>
    <t>ŁOBŻENICA ilość [szt ]</t>
  </si>
  <si>
    <t>STRÓŻEWO ilość [szt ]</t>
  </si>
  <si>
    <t>WYSZYNKI ilość [szt ]</t>
  </si>
  <si>
    <t>INFIA/GULLIN zamienniki</t>
  </si>
  <si>
    <t>aktualna CENA INFII/GUILLIN</t>
  </si>
  <si>
    <t>NOWA CENA INFIA</t>
  </si>
  <si>
    <t>ZAMÓWIENIE</t>
  </si>
  <si>
    <t xml:space="preserve"> </t>
  </si>
  <si>
    <r>
      <rPr>
        <rFont val="Aptos Narrow"/>
        <color theme="1"/>
        <sz val="11.0"/>
      </rPr>
      <t>K29 H26 RPET PAD-NER NUM/</t>
    </r>
    <r>
      <rPr>
        <rFont val="Aptos Narrow"/>
        <color rgb="FFFF0000"/>
        <sz val="11.0"/>
      </rPr>
      <t>F-500/N-26 AF PET ABS NEG</t>
    </r>
  </si>
  <si>
    <r>
      <rPr>
        <rFont val="Aptos Narrow"/>
        <color theme="1"/>
        <sz val="11.0"/>
      </rPr>
      <t>K29 H26 RPET PAD-ROS NUM/</t>
    </r>
    <r>
      <rPr>
        <rFont val="Aptos Narrow"/>
        <color rgb="FFFF0000"/>
        <sz val="11.0"/>
      </rPr>
      <t>F-500/N-26 AF PET RED ABS</t>
    </r>
  </si>
  <si>
    <t>Pojemnik malina 125g, "mydelniczka"  włoska z czerwonym wkładem</t>
  </si>
  <si>
    <r>
      <rPr>
        <rFont val="Aptos Narrow"/>
        <color theme="1"/>
        <sz val="11.0"/>
      </rPr>
      <t>K37 F H40 RPET PAD-ROS/</t>
    </r>
    <r>
      <rPr>
        <rFont val="Aptos Narrow"/>
        <color rgb="FFFF0000"/>
        <sz val="11.0"/>
      </rPr>
      <t>F-1912/TS-40 ALF PET ABS ROJ</t>
    </r>
  </si>
  <si>
    <r>
      <rPr>
        <rFont val="Aptos Narrow"/>
        <color theme="1"/>
        <sz val="11.0"/>
      </rPr>
      <t>K37 H50 RPET/</t>
    </r>
    <r>
      <rPr>
        <rFont val="Aptos Narrow"/>
        <color rgb="FFFF0000"/>
        <sz val="11.0"/>
      </rPr>
      <t>F-1912/TS-50 ALF PET</t>
    </r>
  </si>
  <si>
    <r>
      <rPr>
        <rFont val="Aptos Narrow"/>
        <color theme="1"/>
        <sz val="11.0"/>
      </rPr>
      <t>K37 F H50 RPET PAD-ROS/</t>
    </r>
    <r>
      <rPr>
        <rFont val="Aptos Narrow"/>
        <color rgb="FFFF0000"/>
        <sz val="11.0"/>
      </rPr>
      <t>F-1912/TS-50 ALF PET ABS ROJ</t>
    </r>
  </si>
  <si>
    <t>Wieczko do pojemnika  F500/F-38</t>
  </si>
  <si>
    <t>ed</t>
  </si>
  <si>
    <t>?</t>
  </si>
  <si>
    <t>1 paleta dla Mateusza</t>
  </si>
  <si>
    <t>K62 CP/0  RPET</t>
  </si>
  <si>
    <t>Pojemnik malina 250g z czerwonym wkładem (Austria) (top seal) "KWADRAT"</t>
  </si>
  <si>
    <t> iNFIA - Ovoc &amp; Malinovi Sp. Z o.o. 2025</t>
  </si>
  <si>
    <t>Model iNFIA</t>
  </si>
  <si>
    <t>TOP SEAL</t>
  </si>
  <si>
    <t>BOCZNA WENTYLACJA</t>
  </si>
  <si>
    <t>Materiał</t>
  </si>
  <si>
    <t>ilość na palecie [szt]</t>
  </si>
  <si>
    <t>Cena [eur netto/1000szt] całe auto              26 palet</t>
  </si>
  <si>
    <t>Cena [eur netto/1000szt] całe auto 26 palet NOWE CENY</t>
  </si>
  <si>
    <t>cena aktualna</t>
  </si>
  <si>
    <t>cena w PLN/ kolumna F</t>
  </si>
  <si>
    <t>NOWE CENY w przeliczeniu na PLN/ kolumna G</t>
  </si>
  <si>
    <t>aktualna cena w PLN/ kolumna H</t>
  </si>
  <si>
    <t>K29/26</t>
  </si>
  <si>
    <t>X</t>
  </si>
  <si>
    <t>brak</t>
  </si>
  <si>
    <t>R-PET</t>
  </si>
  <si>
    <t>K29/26 z wkładką absorpcyjną (czarna/ czerwona)</t>
  </si>
  <si>
    <t>K29/34</t>
  </si>
  <si>
    <t>K29/34 z wkładką absorpcyjną</t>
  </si>
  <si>
    <t>K29/40</t>
  </si>
  <si>
    <t>K29/40 z wkładką absorpcyjną</t>
  </si>
  <si>
    <t>K29C/8 - wieczko</t>
  </si>
  <si>
    <t>K37 H40 </t>
  </si>
  <si>
    <t>K37 H40 PAD</t>
  </si>
  <si>
    <t>K37 H50</t>
  </si>
  <si>
    <t>K37 H50 PAD</t>
  </si>
  <si>
    <t>K37 H60 </t>
  </si>
  <si>
    <t>K37 H60  PAD</t>
  </si>
  <si>
    <t>K37 H60 PLU-BUBBLE PAD</t>
  </si>
  <si>
    <t>K37 H70 12,7g</t>
  </si>
  <si>
    <t>K37 H70 14,7g</t>
  </si>
  <si>
    <t>K37 H70 PAD</t>
  </si>
  <si>
    <t>K37 H85</t>
  </si>
  <si>
    <t>K37 H85 PLU-BUBBLE PAD</t>
  </si>
  <si>
    <t>FCK H15-18-22-25 wieczko</t>
  </si>
  <si>
    <t>FCP/0 - wieczko</t>
  </si>
  <si>
    <t>F500/60 z plu bubble pad</t>
  </si>
  <si>
    <t>Cena netto za 1000 szt</t>
  </si>
  <si>
    <t>Stan</t>
  </si>
  <si>
    <r>
      <rPr>
        <rFont val="Aptos Narrow"/>
        <color theme="1"/>
      </rPr>
      <t>K29 H26 RPET PAD-NER NUM/</t>
    </r>
    <r>
      <rPr>
        <rFont val="Aptos Narrow"/>
        <color rgb="FFFF0000"/>
        <sz val="11.0"/>
      </rPr>
      <t>F-500/N-26 AF PET ABS NEG</t>
    </r>
  </si>
  <si>
    <r>
      <rPr>
        <rFont val="Aptos Narrow"/>
        <color theme="1"/>
      </rPr>
      <t>K29 H26 RPET PAD-ROS NUM/</t>
    </r>
    <r>
      <rPr>
        <rFont val="Aptos Narrow"/>
        <color rgb="FFFF0000"/>
        <sz val="11.0"/>
      </rPr>
      <t>F-500/N-26 AF PET RED ABS</t>
    </r>
  </si>
  <si>
    <r>
      <rPr>
        <rFont val="Aptos Narrow"/>
        <color theme="1"/>
      </rPr>
      <t>K37 F H40 RPET PAD-ROS/</t>
    </r>
    <r>
      <rPr>
        <rFont val="Aptos Narrow"/>
        <color rgb="FFFF0000"/>
        <sz val="11.0"/>
      </rPr>
      <t>F-1912/TS-40 ALF PET ABS ROJ</t>
    </r>
  </si>
  <si>
    <r>
      <rPr>
        <rFont val="Aptos Narrow"/>
        <color theme="1"/>
      </rPr>
      <t>K37 F H50 RPET PAD-ROS/</t>
    </r>
    <r>
      <rPr>
        <rFont val="Aptos Narrow"/>
        <color rgb="FFFF0000"/>
        <sz val="11.0"/>
      </rPr>
      <t>F-1912/TS-50 ALF PET ABS ROJ</t>
    </r>
  </si>
  <si>
    <r>
      <rPr>
        <rFont val="Aptos Narrow"/>
        <color theme="1"/>
      </rPr>
      <t>K37 H50 RPET/</t>
    </r>
    <r>
      <rPr>
        <rFont val="Aptos Narrow"/>
        <color rgb="FFFF0000"/>
        <sz val="11.0"/>
      </rPr>
      <t>F-1912/TS-50 ALF PET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</si>
</sst>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000"/>
    <numFmt numFmtId="166" formatCode="0.00000"/>
  </numFmts>
  <fonts count="31">
    <font>
      <sz val="11.0"/>
      <color theme="1"/>
      <name val="Aptos Narrow"/>
      <scheme val="minor"/>
    </font>
    <font>
      <sz val="11.0"/>
      <color theme="1"/>
      <name val="Aptos Narrow"/>
    </font>
    <font>
      <b/>
      <sz val="12.0"/>
      <color rgb="FFFF0000"/>
      <name val="Aptos Narrow"/>
    </font>
    <font/>
    <font>
      <b/>
      <sz val="11.0"/>
      <color theme="1"/>
      <name val="Aptos Narrow"/>
    </font>
    <font>
      <b/>
      <sz val="11.0"/>
      <color theme="1"/>
      <name val="Arial"/>
    </font>
    <font>
      <b/>
      <sz val="11.0"/>
      <color rgb="FFFF0000"/>
      <name val="Aptos Narrow"/>
    </font>
    <font>
      <b/>
      <color rgb="FF0000FF"/>
      <name val="Arial"/>
    </font>
    <font>
      <color theme="1"/>
      <name val="Aptos Narrow"/>
      <scheme val="minor"/>
    </font>
    <font>
      <sz val="11.0"/>
      <color rgb="FFFF0000"/>
      <name val="Aptos Narrow"/>
    </font>
    <font>
      <color rgb="FFFF0000"/>
      <name val="Arial"/>
    </font>
    <font>
      <b/>
      <color theme="1"/>
      <name val="Arial"/>
    </font>
    <font>
      <b/>
      <color rgb="FFFF0000"/>
      <name val="Arial"/>
    </font>
    <font>
      <color rgb="FFFFFFFF"/>
      <name val="Arial"/>
    </font>
    <font>
      <sz val="11.0"/>
      <color rgb="FF000000"/>
      <name val="&quot;Aptos Narrow&quot;"/>
    </font>
    <font>
      <b/>
      <sz val="12.0"/>
      <color rgb="FF000000"/>
      <name val="Czcionka tekstu podstawowego"/>
    </font>
    <font>
      <b/>
      <sz val="12.0"/>
      <color rgb="FF000000"/>
      <name val="&quot;Czcionka tekstu podstawowego&quot;"/>
    </font>
    <font>
      <sz val="14.0"/>
      <color rgb="FF000000"/>
      <name val="Calibri"/>
    </font>
    <font>
      <sz val="9.0"/>
      <color rgb="FF000000"/>
      <name val="Calibri"/>
    </font>
    <font>
      <sz val="11.0"/>
      <color rgb="FF000000"/>
      <name val="Calibri"/>
    </font>
    <font>
      <sz val="11.0"/>
      <color rgb="FFFF0000"/>
      <name val="Calibri"/>
    </font>
    <font>
      <sz val="11.0"/>
      <color rgb="FF000000"/>
      <name val="Arial"/>
    </font>
    <font>
      <sz val="11.0"/>
      <color theme="1"/>
      <name val="Calibri"/>
    </font>
    <font>
      <b/>
      <sz val="10.0"/>
      <color rgb="FF000000"/>
      <name val="Czcionka tekstu podstawowego"/>
    </font>
    <font>
      <b/>
      <sz val="9.0"/>
      <color rgb="FF000000"/>
      <name val="Czcionka tekstu podstawowego"/>
    </font>
    <font>
      <b/>
      <sz val="11.0"/>
      <color theme="1"/>
      <name val="Calibri"/>
    </font>
    <font>
      <b/>
      <sz val="11.0"/>
      <color rgb="FFFF0000"/>
      <name val="Calibri"/>
    </font>
    <font>
      <b/>
      <sz val="11.0"/>
      <color rgb="FFFFFFFF"/>
      <name val="Calibri"/>
    </font>
    <font>
      <sz val="11.0"/>
      <color rgb="FFFF0000"/>
      <name val="&quot;Aptos Narrow&quot;"/>
    </font>
    <font>
      <sz val="12.0"/>
      <color theme="1"/>
      <name val="Arial"/>
    </font>
    <font>
      <sz val="11.0"/>
      <color theme="1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FFFF99"/>
        <bgColor rgb="FFFFFF99"/>
      </patternFill>
    </fill>
    <fill>
      <patternFill patternType="solid">
        <fgColor rgb="FFCAEDFB"/>
        <bgColor rgb="FFCAEDFB"/>
      </patternFill>
    </fill>
    <fill>
      <patternFill patternType="solid">
        <fgColor rgb="FF66FFFF"/>
        <bgColor rgb="FF66FFFF"/>
      </patternFill>
    </fill>
    <fill>
      <patternFill patternType="solid">
        <fgColor rgb="FFEAD1DC"/>
        <bgColor rgb="FFEAD1DC"/>
      </patternFill>
    </fill>
    <fill>
      <patternFill patternType="solid">
        <fgColor rgb="FFDBE9F7"/>
        <bgColor rgb="FFDBE9F7"/>
      </patternFill>
    </fill>
    <fill>
      <patternFill patternType="solid">
        <fgColor rgb="FFD8D8D8"/>
        <bgColor rgb="FFD8D8D8"/>
      </patternFill>
    </fill>
    <fill>
      <patternFill patternType="solid">
        <fgColor rgb="FFFF00FF"/>
        <bgColor rgb="FFFF00FF"/>
      </patternFill>
    </fill>
    <fill>
      <patternFill patternType="solid">
        <fgColor rgb="FFB6DDE8"/>
        <bgColor rgb="FFB6DDE8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2" fontId="1" numFmtId="0" xfId="0" applyBorder="1" applyFill="1" applyFont="1"/>
    <xf borderId="1" fillId="3" fontId="1" numFmtId="0" xfId="0" applyBorder="1" applyFill="1" applyFont="1"/>
    <xf borderId="1" fillId="0" fontId="1" numFmtId="0" xfId="0" applyAlignment="1" applyBorder="1" applyFont="1">
      <alignment shrinkToFit="0" wrapText="1"/>
    </xf>
    <xf borderId="2" fillId="2" fontId="1" numFmtId="0" xfId="0" applyBorder="1" applyFont="1"/>
    <xf borderId="2" fillId="3" fontId="1" numFmtId="0" xfId="0" applyBorder="1" applyFont="1"/>
    <xf borderId="3" fillId="2" fontId="2" numFmtId="0" xfId="0" applyAlignment="1" applyBorder="1" applyFont="1">
      <alignment horizontal="center"/>
    </xf>
    <xf borderId="4" fillId="0" fontId="3" numFmtId="0" xfId="0" applyBorder="1" applyFont="1"/>
    <xf borderId="5" fillId="0" fontId="3" numFmtId="0" xfId="0" applyBorder="1" applyFont="1"/>
    <xf borderId="1" fillId="0" fontId="4" numFmtId="0" xfId="0" applyAlignment="1" applyBorder="1" applyFont="1">
      <alignment vertical="center"/>
    </xf>
    <xf borderId="1" fillId="2" fontId="4" numFmtId="0" xfId="0" applyAlignment="1" applyBorder="1" applyFont="1">
      <alignment horizontal="center" shrinkToFit="0" vertical="center" wrapText="1"/>
    </xf>
    <xf borderId="1" fillId="3" fontId="4" numFmtId="0" xfId="0" applyAlignment="1" applyBorder="1" applyFont="1">
      <alignment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4" fontId="6" numFmtId="0" xfId="0" applyAlignment="1" applyBorder="1" applyFill="1" applyFont="1">
      <alignment shrinkToFit="0" wrapText="1"/>
    </xf>
    <xf borderId="1" fillId="5" fontId="7" numFmtId="0" xfId="0" applyAlignment="1" applyBorder="1" applyFill="1" applyFont="1">
      <alignment horizontal="center" readingOrder="0" shrinkToFit="0" vertical="center" wrapText="1"/>
    </xf>
    <xf borderId="1" fillId="5" fontId="7" numFmtId="0" xfId="0" applyAlignment="1" applyBorder="1" applyFont="1">
      <alignment horizontal="center" readingOrder="0" vertical="center"/>
    </xf>
    <xf borderId="1" fillId="6" fontId="4" numFmtId="0" xfId="0" applyBorder="1" applyFill="1" applyFont="1"/>
    <xf borderId="1" fillId="0" fontId="1" numFmtId="164" xfId="0" applyBorder="1" applyFont="1" applyNumberFormat="1"/>
    <xf borderId="1" fillId="0" fontId="8" numFmtId="0" xfId="0" applyAlignment="1" applyBorder="1" applyFont="1">
      <alignment horizontal="right"/>
    </xf>
    <xf borderId="1" fillId="0" fontId="9" numFmtId="0" xfId="0" applyBorder="1" applyFont="1"/>
    <xf borderId="1" fillId="0" fontId="4" numFmtId="0" xfId="0" applyBorder="1" applyFont="1"/>
    <xf borderId="1" fillId="7" fontId="4" numFmtId="0" xfId="0" applyBorder="1" applyFill="1" applyFont="1"/>
    <xf borderId="1" fillId="0" fontId="1" numFmtId="165" xfId="0" applyBorder="1" applyFont="1" applyNumberFormat="1"/>
    <xf borderId="1" fillId="2" fontId="10" numFmtId="165" xfId="0" applyAlignment="1" applyBorder="1" applyFont="1" applyNumberFormat="1">
      <alignment horizontal="right" readingOrder="0"/>
    </xf>
    <xf borderId="1" fillId="0" fontId="11" numFmtId="0" xfId="0" applyAlignment="1" applyBorder="1" applyFont="1">
      <alignment horizontal="right" readingOrder="0"/>
    </xf>
    <xf borderId="0" fillId="0" fontId="8" numFmtId="10" xfId="0" applyFont="1" applyNumberFormat="1"/>
    <xf borderId="1" fillId="2" fontId="12" numFmtId="166" xfId="0" applyAlignment="1" applyBorder="1" applyFont="1" applyNumberFormat="1">
      <alignment horizontal="right" readingOrder="0"/>
    </xf>
    <xf borderId="1" fillId="8" fontId="13" numFmtId="0" xfId="0" applyAlignment="1" applyBorder="1" applyFill="1" applyFont="1">
      <alignment horizontal="right" readingOrder="0"/>
    </xf>
    <xf borderId="1" fillId="2" fontId="12" numFmtId="0" xfId="0" applyAlignment="1" applyBorder="1" applyFont="1">
      <alignment horizontal="right" readingOrder="0"/>
    </xf>
    <xf borderId="0" fillId="0" fontId="8" numFmtId="0" xfId="0" applyFont="1"/>
    <xf borderId="1" fillId="0" fontId="4" numFmtId="0" xfId="0" applyAlignment="1" applyBorder="1" applyFont="1">
      <alignment horizontal="center"/>
    </xf>
    <xf borderId="0" fillId="0" fontId="14" numFmtId="0" xfId="0" applyAlignment="1" applyFont="1">
      <alignment shrinkToFit="0" vertical="bottom" wrapText="0"/>
    </xf>
    <xf borderId="0" fillId="0" fontId="14" numFmtId="0" xfId="0" applyAlignment="1" applyFont="1">
      <alignment shrinkToFit="0" vertical="bottom" wrapText="0"/>
    </xf>
    <xf borderId="6" fillId="9" fontId="15" numFmtId="0" xfId="0" applyAlignment="1" applyBorder="1" applyFill="1" applyFont="1">
      <alignment horizontal="center" vertical="center"/>
    </xf>
    <xf borderId="7" fillId="0" fontId="3" numFmtId="0" xfId="0" applyBorder="1" applyFont="1"/>
    <xf borderId="8" fillId="0" fontId="3" numFmtId="0" xfId="0" applyBorder="1" applyFont="1"/>
    <xf borderId="1" fillId="9" fontId="16" numFmtId="0" xfId="0" applyAlignment="1" applyBorder="1" applyFont="1">
      <alignment horizontal="center" shrinkToFit="0" wrapText="0"/>
    </xf>
    <xf borderId="9" fillId="9" fontId="17" numFmtId="0" xfId="0" applyAlignment="1" applyBorder="1" applyFont="1">
      <alignment horizontal="center" shrinkToFit="0" vertical="center" wrapText="1"/>
    </xf>
    <xf borderId="10" fillId="7" fontId="18" numFmtId="0" xfId="0" applyAlignment="1" applyBorder="1" applyFont="1">
      <alignment horizontal="center" shrinkToFit="0" vertical="center" wrapText="1"/>
    </xf>
    <xf borderId="10" fillId="7" fontId="19" numFmtId="0" xfId="0" applyAlignment="1" applyBorder="1" applyFont="1">
      <alignment horizontal="center" shrinkToFit="0" vertical="center" wrapText="1"/>
    </xf>
    <xf borderId="11" fillId="7" fontId="19" numFmtId="0" xfId="0" applyAlignment="1" applyBorder="1" applyFont="1">
      <alignment horizontal="center" readingOrder="0" shrinkToFit="0" wrapText="1"/>
    </xf>
    <xf borderId="12" fillId="7" fontId="20" numFmtId="0" xfId="0" applyAlignment="1" applyBorder="1" applyFont="1">
      <alignment horizontal="center" readingOrder="0" shrinkToFit="0" wrapText="1"/>
    </xf>
    <xf borderId="0" fillId="7" fontId="19" numFmtId="0" xfId="0" applyAlignment="1" applyFont="1">
      <alignment horizontal="center" readingOrder="0" shrinkToFit="0" wrapText="1"/>
    </xf>
    <xf borderId="0" fillId="7" fontId="20" numFmtId="0" xfId="0" applyAlignment="1" applyFont="1">
      <alignment horizontal="center" readingOrder="0" shrinkToFit="0" wrapText="1"/>
    </xf>
    <xf borderId="6" fillId="10" fontId="21" numFmtId="0" xfId="0" applyAlignment="1" applyBorder="1" applyFill="1" applyFont="1">
      <alignment horizontal="center"/>
    </xf>
    <xf borderId="0" fillId="10" fontId="21" numFmtId="0" xfId="0" applyAlignment="1" applyFont="1">
      <alignment horizontal="center" shrinkToFit="0" vertical="bottom" wrapText="0"/>
    </xf>
    <xf borderId="12" fillId="10" fontId="21" numFmtId="0" xfId="0" applyAlignment="1" applyBorder="1" applyFont="1">
      <alignment horizontal="center" shrinkToFit="0" vertical="bottom" wrapText="0"/>
    </xf>
    <xf borderId="9" fillId="11" fontId="22" numFmtId="0" xfId="0" applyBorder="1" applyFill="1" applyFont="1"/>
    <xf borderId="10" fillId="11" fontId="23" numFmtId="0" xfId="0" applyAlignment="1" applyBorder="1" applyFont="1">
      <alignment horizontal="center" vertical="center"/>
    </xf>
    <xf borderId="10" fillId="11" fontId="24" numFmtId="0" xfId="0" applyAlignment="1" applyBorder="1" applyFont="1">
      <alignment horizontal="center" vertical="center"/>
    </xf>
    <xf borderId="10" fillId="11" fontId="22" numFmtId="0" xfId="0" applyAlignment="1" applyBorder="1" applyFont="1">
      <alignment vertical="center"/>
    </xf>
    <xf borderId="10" fillId="11" fontId="22" numFmtId="3" xfId="0" applyAlignment="1" applyBorder="1" applyFont="1" applyNumberFormat="1">
      <alignment horizontal="right"/>
    </xf>
    <xf borderId="10" fillId="11" fontId="25" numFmtId="0" xfId="0" applyAlignment="1" applyBorder="1" applyFont="1">
      <alignment horizontal="right"/>
    </xf>
    <xf borderId="1" fillId="11" fontId="25" numFmtId="0" xfId="0" applyAlignment="1" applyBorder="1" applyFont="1">
      <alignment horizontal="right" shrinkToFit="0" vertical="bottom" wrapText="0"/>
    </xf>
    <xf borderId="12" fillId="11" fontId="25" numFmtId="0" xfId="0" applyAlignment="1" applyBorder="1" applyFont="1">
      <alignment horizontal="right" readingOrder="0" shrinkToFit="0" vertical="bottom" wrapText="0"/>
    </xf>
    <xf borderId="0" fillId="0" fontId="14" numFmtId="164" xfId="0" applyAlignment="1" applyFont="1" applyNumberFormat="1">
      <alignment shrinkToFit="0" vertical="bottom" wrapText="0"/>
    </xf>
    <xf borderId="9" fillId="12" fontId="22" numFmtId="0" xfId="0" applyAlignment="1" applyBorder="1" applyFill="1" applyFont="1">
      <alignment shrinkToFit="0" wrapText="1"/>
    </xf>
    <xf borderId="10" fillId="12" fontId="23" numFmtId="0" xfId="0" applyAlignment="1" applyBorder="1" applyFont="1">
      <alignment horizontal="center" vertical="center"/>
    </xf>
    <xf borderId="10" fillId="12" fontId="24" numFmtId="0" xfId="0" applyAlignment="1" applyBorder="1" applyFont="1">
      <alignment horizontal="center" vertical="center"/>
    </xf>
    <xf borderId="10" fillId="12" fontId="22" numFmtId="0" xfId="0" applyAlignment="1" applyBorder="1" applyFont="1">
      <alignment vertical="center"/>
    </xf>
    <xf borderId="10" fillId="12" fontId="22" numFmtId="3" xfId="0" applyAlignment="1" applyBorder="1" applyFont="1" applyNumberFormat="1">
      <alignment horizontal="right"/>
    </xf>
    <xf borderId="10" fillId="12" fontId="25" numFmtId="0" xfId="0" applyAlignment="1" applyBorder="1" applyFont="1">
      <alignment horizontal="right"/>
    </xf>
    <xf borderId="12" fillId="12" fontId="26" numFmtId="0" xfId="0" applyAlignment="1" applyBorder="1" applyFont="1">
      <alignment horizontal="right" readingOrder="0" shrinkToFit="0" vertical="bottom" wrapText="0"/>
    </xf>
    <xf borderId="12" fillId="8" fontId="27" numFmtId="0" xfId="0" applyAlignment="1" applyBorder="1" applyFont="1">
      <alignment horizontal="right"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28" numFmtId="0" xfId="0" applyAlignment="1" applyFont="1">
      <alignment horizontal="right" readingOrder="0" shrinkToFit="0" vertical="bottom" wrapText="0"/>
    </xf>
    <xf borderId="12" fillId="11" fontId="25" numFmtId="0" xfId="0" applyAlignment="1" applyBorder="1" applyFont="1">
      <alignment horizontal="right" shrinkToFit="0" vertical="bottom" wrapText="0"/>
    </xf>
    <xf borderId="9" fillId="12" fontId="22" numFmtId="0" xfId="0" applyBorder="1" applyFont="1"/>
    <xf borderId="12" fillId="12" fontId="25" numFmtId="0" xfId="0" applyAlignment="1" applyBorder="1" applyFont="1">
      <alignment horizontal="right" shrinkToFit="0" vertical="bottom" wrapText="0"/>
    </xf>
    <xf borderId="12" fillId="12" fontId="25" numFmtId="0" xfId="0" applyAlignment="1" applyBorder="1" applyFont="1">
      <alignment horizontal="right" readingOrder="0" shrinkToFit="0" vertical="bottom" wrapText="0"/>
    </xf>
    <xf borderId="6" fillId="10" fontId="29" numFmtId="0" xfId="0" applyAlignment="1" applyBorder="1" applyFont="1">
      <alignment horizontal="center"/>
    </xf>
    <xf borderId="12" fillId="10" fontId="29" numFmtId="0" xfId="0" applyAlignment="1" applyBorder="1" applyFont="1">
      <alignment horizontal="center" shrinkToFit="0" vertical="bottom" wrapText="0"/>
    </xf>
    <xf borderId="13" fillId="0" fontId="4" numFmtId="0" xfId="0" applyAlignment="1" applyBorder="1" applyFont="1">
      <alignment horizontal="center" shrinkToFit="0" wrapText="1"/>
    </xf>
    <xf borderId="14" fillId="0" fontId="4" numFmtId="0" xfId="0" applyAlignment="1" applyBorder="1" applyFont="1">
      <alignment horizontal="center" shrinkToFit="0" wrapText="1"/>
    </xf>
    <xf borderId="14" fillId="0" fontId="4" numFmtId="0" xfId="0" applyAlignment="1" applyBorder="1" applyFont="1">
      <alignment shrinkToFit="0" wrapText="1"/>
    </xf>
    <xf borderId="14" fillId="0" fontId="5" numFmtId="0" xfId="0" applyAlignment="1" applyBorder="1" applyFont="1">
      <alignment shrinkToFit="0" wrapText="1"/>
    </xf>
    <xf borderId="15" fillId="0" fontId="1" numFmtId="0" xfId="0" applyAlignment="1" applyBorder="1" applyFont="1">
      <alignment shrinkToFit="0" wrapText="1"/>
    </xf>
    <xf borderId="16" fillId="0" fontId="9" numFmtId="0" xfId="0" applyAlignment="1" applyBorder="1" applyFont="1">
      <alignment shrinkToFit="0" wrapText="1"/>
    </xf>
    <xf borderId="16" fillId="0" fontId="1" numFmtId="0" xfId="0" applyAlignment="1" applyBorder="1" applyFont="1">
      <alignment shrinkToFit="0" wrapText="1"/>
    </xf>
    <xf borderId="16" fillId="0" fontId="30" numFmtId="2" xfId="0" applyAlignment="1" applyBorder="1" applyFont="1" applyNumberFormat="1">
      <alignment horizontal="right" shrinkToFit="0" wrapText="1"/>
    </xf>
    <xf borderId="16" fillId="0" fontId="4" numFmtId="0" xfId="0" applyAlignment="1" applyBorder="1" applyFont="1">
      <alignment shrinkToFit="0" wrapText="1"/>
    </xf>
    <xf borderId="0" fillId="0" fontId="4" numFmtId="0" xfId="0" applyFont="1"/>
    <xf borderId="2" fillId="2" fontId="4" numFmtId="0" xfId="0" applyBorder="1" applyFont="1"/>
    <xf borderId="2" fillId="3" fontId="4" numFmtId="0" xfId="0" applyAlignment="1" applyBorder="1" applyFont="1">
      <alignment shrinkToFit="0" wrapText="1"/>
    </xf>
    <xf borderId="2" fillId="7" fontId="4" numFmtId="0" xfId="0" applyBorder="1" applyFont="1"/>
    <xf borderId="2" fillId="6" fontId="4" numFmtId="0" xfId="0" applyBorder="1" applyFont="1"/>
    <xf borderId="2" fillId="3" fontId="1" numFmtId="0" xfId="0" applyAlignment="1" applyBorder="1" applyFont="1">
      <alignment shrinkToFit="0" wrapText="1"/>
    </xf>
    <xf borderId="0" fillId="0" fontId="4" numFmtId="0" xfId="0" applyAlignment="1" applyFont="1">
      <alignment horizontal="center"/>
    </xf>
    <xf borderId="0" fillId="0" fontId="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25"/>
    <col customWidth="1" min="2" max="2" width="23.75"/>
    <col customWidth="1" min="3" max="3" width="7.63"/>
    <col customWidth="1" min="4" max="4" width="50.0"/>
    <col customWidth="1" min="5" max="5" width="16.38"/>
    <col customWidth="1" min="6" max="6" width="9.5"/>
    <col customWidth="1" min="7" max="9" width="8.0"/>
    <col customWidth="1" min="10" max="10" width="7.63"/>
    <col customWidth="1" min="11" max="11" width="8.0"/>
    <col customWidth="1" min="12" max="13" width="7.63"/>
    <col customWidth="1" min="14" max="14" width="23.13"/>
    <col customWidth="1" min="15" max="15" width="13.13"/>
    <col customWidth="1" min="16" max="16" width="16.0"/>
    <col customWidth="1" min="17" max="26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3" t="s">
        <v>10</v>
      </c>
      <c r="L1" s="1" t="s">
        <v>11</v>
      </c>
      <c r="M1" s="1"/>
      <c r="N1" s="1" t="s">
        <v>12</v>
      </c>
      <c r="O1" s="1" t="s">
        <v>13</v>
      </c>
      <c r="P1" s="1" t="s">
        <v>14</v>
      </c>
    </row>
    <row r="2">
      <c r="A2" s="1" t="s">
        <v>15</v>
      </c>
      <c r="B2" s="1" t="s">
        <v>16</v>
      </c>
      <c r="C2" s="1"/>
      <c r="D2" s="1" t="s">
        <v>17</v>
      </c>
      <c r="E2" s="1" t="s">
        <v>18</v>
      </c>
      <c r="F2" s="1" t="s">
        <v>19</v>
      </c>
      <c r="G2" s="2">
        <v>6900.0</v>
      </c>
      <c r="H2" s="2">
        <v>23000.0</v>
      </c>
      <c r="I2" s="2">
        <v>0.0</v>
      </c>
      <c r="J2" s="1">
        <v>29900.0</v>
      </c>
      <c r="K2" s="3">
        <v>0.12</v>
      </c>
      <c r="L2" s="1">
        <v>2304.0</v>
      </c>
      <c r="M2" s="1"/>
      <c r="N2" s="1"/>
      <c r="O2" s="1"/>
      <c r="P2" s="1"/>
    </row>
    <row r="3">
      <c r="A3" s="1" t="s">
        <v>15</v>
      </c>
      <c r="B3" s="1" t="s">
        <v>20</v>
      </c>
      <c r="C3" s="1"/>
      <c r="D3" s="1" t="s">
        <v>21</v>
      </c>
      <c r="E3" s="1">
        <v>4.05030023E8</v>
      </c>
      <c r="F3" s="1" t="s">
        <v>19</v>
      </c>
      <c r="G3" s="2">
        <v>0.0</v>
      </c>
      <c r="H3" s="2">
        <v>0.0</v>
      </c>
      <c r="I3" s="2">
        <v>0.0</v>
      </c>
      <c r="J3" s="1">
        <v>0.0</v>
      </c>
      <c r="K3" s="3">
        <v>0.19</v>
      </c>
      <c r="L3" s="1">
        <v>810.0</v>
      </c>
      <c r="M3" s="1"/>
      <c r="N3" s="1"/>
      <c r="O3" s="1"/>
      <c r="P3" s="1"/>
    </row>
    <row r="4">
      <c r="A4" s="1" t="s">
        <v>15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19</v>
      </c>
      <c r="G4" s="2">
        <v>0.0</v>
      </c>
      <c r="H4" s="2">
        <v>0.0</v>
      </c>
      <c r="I4" s="2">
        <v>0.0</v>
      </c>
      <c r="J4" s="1">
        <v>0.0</v>
      </c>
      <c r="K4" s="3">
        <v>0.16</v>
      </c>
      <c r="L4" s="1">
        <v>1632.0</v>
      </c>
      <c r="M4" s="1"/>
      <c r="N4" s="1"/>
      <c r="O4" s="1"/>
      <c r="P4" s="1"/>
    </row>
    <row r="5">
      <c r="A5" s="1" t="s">
        <v>15</v>
      </c>
      <c r="B5" s="1" t="s">
        <v>26</v>
      </c>
      <c r="C5" s="1"/>
      <c r="D5" s="1" t="s">
        <v>27</v>
      </c>
      <c r="E5" s="1" t="s">
        <v>28</v>
      </c>
      <c r="F5" s="1" t="s">
        <v>19</v>
      </c>
      <c r="G5" s="2">
        <v>0.0</v>
      </c>
      <c r="H5" s="2">
        <v>33600.0</v>
      </c>
      <c r="I5" s="2">
        <v>0.0</v>
      </c>
      <c r="J5" s="1">
        <v>33600.0</v>
      </c>
      <c r="K5" s="3">
        <v>0.13</v>
      </c>
      <c r="L5" s="1">
        <v>1680.0</v>
      </c>
      <c r="M5" s="1"/>
      <c r="N5" s="1"/>
      <c r="O5" s="1"/>
      <c r="P5" s="1"/>
    </row>
    <row r="6">
      <c r="A6" s="1" t="s">
        <v>15</v>
      </c>
      <c r="B6" s="1" t="s">
        <v>29</v>
      </c>
      <c r="C6" s="1" t="s">
        <v>23</v>
      </c>
      <c r="D6" s="1" t="s">
        <v>30</v>
      </c>
      <c r="E6" s="1" t="s">
        <v>31</v>
      </c>
      <c r="F6" s="1" t="s">
        <v>19</v>
      </c>
      <c r="G6" s="2">
        <v>8400.0</v>
      </c>
      <c r="H6" s="2">
        <v>0.0</v>
      </c>
      <c r="I6" s="2">
        <v>39970.0</v>
      </c>
      <c r="J6" s="1">
        <v>48370.0</v>
      </c>
      <c r="K6" s="3">
        <v>0.13</v>
      </c>
      <c r="L6" s="1">
        <v>1680.0</v>
      </c>
      <c r="M6" s="1"/>
      <c r="N6" s="1"/>
      <c r="O6" s="1"/>
      <c r="P6" s="1"/>
    </row>
    <row r="7">
      <c r="A7" s="1" t="s">
        <v>15</v>
      </c>
      <c r="B7" s="1" t="s">
        <v>32</v>
      </c>
      <c r="C7" s="1"/>
      <c r="D7" s="1" t="s">
        <v>33</v>
      </c>
      <c r="E7" s="1" t="s">
        <v>34</v>
      </c>
      <c r="F7" s="1" t="s">
        <v>19</v>
      </c>
      <c r="G7" s="2">
        <v>3744.0</v>
      </c>
      <c r="H7" s="2">
        <v>0.0</v>
      </c>
      <c r="I7" s="2">
        <v>45980.0</v>
      </c>
      <c r="J7" s="1">
        <v>49724.0</v>
      </c>
      <c r="K7" s="3">
        <v>0.12</v>
      </c>
      <c r="L7" s="1">
        <v>2300.0</v>
      </c>
      <c r="M7" s="1"/>
      <c r="N7" s="1"/>
      <c r="O7" s="1"/>
      <c r="P7" s="1"/>
    </row>
    <row r="8">
      <c r="A8" s="1" t="s">
        <v>15</v>
      </c>
      <c r="B8" s="1" t="s">
        <v>35</v>
      </c>
      <c r="C8" s="1" t="s">
        <v>23</v>
      </c>
      <c r="D8" s="1" t="s">
        <v>36</v>
      </c>
      <c r="E8" s="1" t="s">
        <v>37</v>
      </c>
      <c r="F8" s="1" t="s">
        <v>19</v>
      </c>
      <c r="G8" s="2">
        <v>0.0</v>
      </c>
      <c r="H8" s="2">
        <v>0.0</v>
      </c>
      <c r="I8" s="2">
        <v>0.0</v>
      </c>
      <c r="J8" s="1">
        <v>0.0</v>
      </c>
      <c r="K8" s="3">
        <v>0.13</v>
      </c>
      <c r="L8" s="1">
        <v>950.0</v>
      </c>
      <c r="M8" s="1"/>
      <c r="N8" s="1"/>
      <c r="O8" s="1"/>
      <c r="P8" s="1"/>
    </row>
    <row r="9">
      <c r="A9" s="1" t="s">
        <v>15</v>
      </c>
      <c r="B9" s="1" t="s">
        <v>38</v>
      </c>
      <c r="C9" s="1" t="s">
        <v>23</v>
      </c>
      <c r="D9" s="1" t="s">
        <v>39</v>
      </c>
      <c r="E9" s="1" t="s">
        <v>40</v>
      </c>
      <c r="F9" s="1" t="s">
        <v>19</v>
      </c>
      <c r="G9" s="2">
        <v>18050.0</v>
      </c>
      <c r="H9" s="2">
        <v>0.0</v>
      </c>
      <c r="I9" s="2">
        <v>0.0</v>
      </c>
      <c r="J9" s="1">
        <v>18050.0</v>
      </c>
      <c r="K9" s="3">
        <v>0.2</v>
      </c>
      <c r="L9" s="1">
        <v>950.0</v>
      </c>
      <c r="M9" s="1"/>
      <c r="N9" s="1"/>
      <c r="O9" s="1"/>
      <c r="P9" s="1"/>
    </row>
    <row r="10">
      <c r="A10" s="1" t="s">
        <v>15</v>
      </c>
      <c r="B10" s="1" t="s">
        <v>41</v>
      </c>
      <c r="C10" s="1" t="s">
        <v>23</v>
      </c>
      <c r="D10" s="1" t="s">
        <v>42</v>
      </c>
      <c r="E10" s="1" t="s">
        <v>43</v>
      </c>
      <c r="F10" s="1" t="s">
        <v>19</v>
      </c>
      <c r="G10" s="2">
        <v>0.0</v>
      </c>
      <c r="H10" s="2">
        <v>927.0</v>
      </c>
      <c r="I10" s="2">
        <v>0.0</v>
      </c>
      <c r="J10" s="1">
        <v>927.0</v>
      </c>
      <c r="K10" s="3">
        <v>0.31</v>
      </c>
      <c r="L10" s="1">
        <v>927.0</v>
      </c>
      <c r="M10" s="1"/>
      <c r="N10" s="1"/>
      <c r="O10" s="1"/>
      <c r="P10" s="1"/>
    </row>
    <row r="11">
      <c r="A11" s="1" t="s">
        <v>15</v>
      </c>
      <c r="B11" s="1" t="s">
        <v>44</v>
      </c>
      <c r="C11" s="1" t="s">
        <v>23</v>
      </c>
      <c r="D11" s="1" t="s">
        <v>45</v>
      </c>
      <c r="E11" s="1" t="s">
        <v>46</v>
      </c>
      <c r="F11" s="1" t="s">
        <v>19</v>
      </c>
      <c r="G11" s="2">
        <v>0.0</v>
      </c>
      <c r="H11" s="2">
        <v>0.0</v>
      </c>
      <c r="I11" s="2">
        <v>0.0</v>
      </c>
      <c r="J11" s="1">
        <v>0.0</v>
      </c>
      <c r="K11" s="3">
        <v>0.17</v>
      </c>
      <c r="L11" s="1">
        <v>880.0</v>
      </c>
      <c r="M11" s="1"/>
      <c r="N11" s="1"/>
      <c r="O11" s="1"/>
      <c r="P11" s="1"/>
    </row>
    <row r="12">
      <c r="A12" s="1" t="s">
        <v>15</v>
      </c>
      <c r="B12" s="1" t="s">
        <v>47</v>
      </c>
      <c r="C12" s="1"/>
      <c r="D12" s="1" t="s">
        <v>48</v>
      </c>
      <c r="E12" s="1" t="s">
        <v>49</v>
      </c>
      <c r="F12" s="1" t="s">
        <v>19</v>
      </c>
      <c r="G12" s="2">
        <v>0.0</v>
      </c>
      <c r="H12" s="2">
        <v>0.0</v>
      </c>
      <c r="I12" s="2">
        <v>31240.0</v>
      </c>
      <c r="J12" s="1">
        <v>31240.0</v>
      </c>
      <c r="K12" s="3">
        <v>0.21</v>
      </c>
      <c r="L12" s="1">
        <v>1562.0</v>
      </c>
      <c r="M12" s="1"/>
      <c r="N12" s="1"/>
      <c r="O12" s="1"/>
      <c r="P12" s="1"/>
    </row>
    <row r="13">
      <c r="A13" s="1" t="s">
        <v>15</v>
      </c>
      <c r="B13" s="1" t="s">
        <v>50</v>
      </c>
      <c r="C13" s="1" t="s">
        <v>23</v>
      </c>
      <c r="D13" s="1" t="s">
        <v>51</v>
      </c>
      <c r="E13" s="1" t="s">
        <v>52</v>
      </c>
      <c r="F13" s="1" t="s">
        <v>19</v>
      </c>
      <c r="G13" s="2">
        <v>0.0</v>
      </c>
      <c r="H13" s="2">
        <v>0.0</v>
      </c>
      <c r="I13" s="2">
        <v>0.0</v>
      </c>
      <c r="J13" s="1">
        <v>0.0</v>
      </c>
      <c r="K13" s="3">
        <v>0.21</v>
      </c>
      <c r="L13" s="1">
        <v>880.0</v>
      </c>
      <c r="M13" s="1"/>
      <c r="N13" s="1"/>
      <c r="O13" s="1"/>
      <c r="P13" s="1"/>
    </row>
    <row r="14">
      <c r="A14" s="1" t="s">
        <v>15</v>
      </c>
      <c r="B14" s="1" t="s">
        <v>53</v>
      </c>
      <c r="C14" s="1"/>
      <c r="D14" s="1" t="s">
        <v>54</v>
      </c>
      <c r="E14" s="1" t="s">
        <v>55</v>
      </c>
      <c r="F14" s="1" t="s">
        <v>19</v>
      </c>
      <c r="G14" s="2">
        <v>0.0</v>
      </c>
      <c r="H14" s="2">
        <v>0.0</v>
      </c>
      <c r="I14" s="2">
        <v>0.0</v>
      </c>
      <c r="J14" s="1">
        <v>4000.0</v>
      </c>
      <c r="K14" s="3">
        <v>0.11</v>
      </c>
      <c r="L14" s="1">
        <v>2000.0</v>
      </c>
      <c r="M14" s="1"/>
      <c r="N14" s="1"/>
      <c r="O14" s="1"/>
      <c r="P14" s="1"/>
    </row>
    <row r="15">
      <c r="A15" s="1" t="s">
        <v>15</v>
      </c>
      <c r="B15" s="1" t="s">
        <v>56</v>
      </c>
      <c r="C15" s="1"/>
      <c r="D15" s="1" t="s">
        <v>57</v>
      </c>
      <c r="E15" s="1" t="s">
        <v>58</v>
      </c>
      <c r="F15" s="1" t="s">
        <v>19</v>
      </c>
      <c r="G15" s="2">
        <v>0.0</v>
      </c>
      <c r="H15" s="2">
        <v>0.0</v>
      </c>
      <c r="I15" s="2">
        <v>0.0</v>
      </c>
      <c r="J15" s="1">
        <v>0.0</v>
      </c>
      <c r="K15" s="3">
        <v>0.17</v>
      </c>
      <c r="L15" s="1">
        <v>1562.0</v>
      </c>
      <c r="M15" s="1"/>
      <c r="N15" s="4" t="s">
        <v>59</v>
      </c>
      <c r="O15" s="1">
        <v>0.13</v>
      </c>
      <c r="P15" s="1">
        <v>0.13</v>
      </c>
    </row>
    <row r="16">
      <c r="A16" s="1" t="s">
        <v>15</v>
      </c>
      <c r="B16" s="1" t="s">
        <v>60</v>
      </c>
      <c r="C16" s="1"/>
      <c r="D16" s="1" t="s">
        <v>61</v>
      </c>
      <c r="E16" s="1" t="s">
        <v>62</v>
      </c>
      <c r="F16" s="1" t="s">
        <v>19</v>
      </c>
      <c r="G16" s="2">
        <v>0.0</v>
      </c>
      <c r="H16" s="2">
        <v>0.0</v>
      </c>
      <c r="I16" s="2">
        <v>0.0</v>
      </c>
      <c r="J16" s="1">
        <v>0.0</v>
      </c>
      <c r="K16" s="3">
        <v>0.17</v>
      </c>
      <c r="L16" s="1">
        <v>1545.0</v>
      </c>
      <c r="M16" s="1"/>
      <c r="N16" s="4" t="s">
        <v>63</v>
      </c>
      <c r="O16" s="1">
        <v>0.13</v>
      </c>
      <c r="P16" s="1">
        <v>0.13</v>
      </c>
    </row>
    <row r="17">
      <c r="A17" s="1" t="s">
        <v>15</v>
      </c>
      <c r="B17" s="1" t="s">
        <v>64</v>
      </c>
      <c r="C17" s="1" t="s">
        <v>23</v>
      </c>
      <c r="D17" s="1" t="s">
        <v>65</v>
      </c>
      <c r="E17" s="1" t="s">
        <v>66</v>
      </c>
      <c r="F17" s="1" t="s">
        <v>19</v>
      </c>
      <c r="G17" s="2">
        <v>0.0</v>
      </c>
      <c r="H17" s="2">
        <v>0.0</v>
      </c>
      <c r="I17" s="2">
        <v>0.0</v>
      </c>
      <c r="J17" s="1">
        <v>0.0</v>
      </c>
      <c r="K17" s="3">
        <v>0.39</v>
      </c>
      <c r="L17" s="1">
        <v>780.0</v>
      </c>
      <c r="M17" s="1"/>
      <c r="N17" s="4"/>
      <c r="O17" s="1"/>
      <c r="P17" s="1"/>
    </row>
    <row r="18">
      <c r="A18" s="1" t="s">
        <v>15</v>
      </c>
      <c r="B18" s="1" t="s">
        <v>67</v>
      </c>
      <c r="C18" s="1"/>
      <c r="D18" s="1" t="s">
        <v>68</v>
      </c>
      <c r="E18" s="1" t="s">
        <v>69</v>
      </c>
      <c r="F18" s="1" t="s">
        <v>19</v>
      </c>
      <c r="G18" s="2">
        <v>0.0</v>
      </c>
      <c r="H18" s="2">
        <v>0.0</v>
      </c>
      <c r="I18" s="2">
        <v>0.0</v>
      </c>
      <c r="J18" s="1">
        <v>0.0</v>
      </c>
      <c r="K18" s="3">
        <v>0.0</v>
      </c>
      <c r="L18" s="1">
        <v>850.0</v>
      </c>
      <c r="M18" s="1"/>
      <c r="N18" s="4"/>
      <c r="O18" s="1"/>
      <c r="P18" s="1"/>
    </row>
    <row r="19">
      <c r="A19" s="1" t="s">
        <v>15</v>
      </c>
      <c r="B19" s="1" t="s">
        <v>70</v>
      </c>
      <c r="C19" s="1"/>
      <c r="D19" s="1" t="s">
        <v>71</v>
      </c>
      <c r="E19" s="1">
        <v>4.05090006E8</v>
      </c>
      <c r="F19" s="1" t="s">
        <v>19</v>
      </c>
      <c r="G19" s="2">
        <v>0.0</v>
      </c>
      <c r="H19" s="2">
        <v>0.0</v>
      </c>
      <c r="I19" s="2">
        <v>0.0</v>
      </c>
      <c r="J19" s="1">
        <v>0.0</v>
      </c>
      <c r="K19" s="3">
        <v>0.12</v>
      </c>
      <c r="L19" s="1">
        <v>2240.0</v>
      </c>
      <c r="M19" s="1"/>
      <c r="N19" s="4"/>
      <c r="O19" s="1"/>
      <c r="P19" s="1"/>
    </row>
    <row r="20">
      <c r="A20" s="1" t="s">
        <v>15</v>
      </c>
      <c r="B20" s="1" t="s">
        <v>72</v>
      </c>
      <c r="C20" s="1" t="s">
        <v>23</v>
      </c>
      <c r="D20" s="1" t="s">
        <v>73</v>
      </c>
      <c r="E20" s="1" t="s">
        <v>74</v>
      </c>
      <c r="F20" s="1" t="s">
        <v>19</v>
      </c>
      <c r="G20" s="2">
        <v>10626.0</v>
      </c>
      <c r="H20" s="2">
        <v>0.0</v>
      </c>
      <c r="I20" s="2">
        <v>0.0</v>
      </c>
      <c r="J20" s="1">
        <v>10626.0</v>
      </c>
      <c r="K20" s="3">
        <v>0.2</v>
      </c>
      <c r="L20" s="1">
        <v>1518.0</v>
      </c>
      <c r="M20" s="1"/>
      <c r="N20" s="4"/>
      <c r="O20" s="1"/>
      <c r="P20" s="1"/>
    </row>
    <row r="21" ht="15.75" customHeight="1">
      <c r="A21" s="1" t="s">
        <v>15</v>
      </c>
      <c r="B21" s="1" t="s">
        <v>75</v>
      </c>
      <c r="C21" s="1" t="s">
        <v>23</v>
      </c>
      <c r="D21" s="1" t="s">
        <v>76</v>
      </c>
      <c r="E21" s="1" t="s">
        <v>77</v>
      </c>
      <c r="F21" s="1" t="s">
        <v>19</v>
      </c>
      <c r="G21" s="2">
        <v>0.0</v>
      </c>
      <c r="H21" s="2">
        <v>0.0</v>
      </c>
      <c r="I21" s="2">
        <v>0.0</v>
      </c>
      <c r="J21" s="1">
        <v>0.0</v>
      </c>
      <c r="K21" s="3">
        <v>0.18</v>
      </c>
      <c r="L21" s="1">
        <v>1302.0</v>
      </c>
      <c r="M21" s="1"/>
      <c r="N21" s="4"/>
      <c r="O21" s="1"/>
      <c r="P21" s="1"/>
    </row>
    <row r="22" ht="15.75" customHeight="1">
      <c r="A22" s="1" t="s">
        <v>15</v>
      </c>
      <c r="B22" s="1" t="s">
        <v>78</v>
      </c>
      <c r="C22" s="1"/>
      <c r="D22" s="1" t="s">
        <v>79</v>
      </c>
      <c r="E22" s="1" t="s">
        <v>80</v>
      </c>
      <c r="F22" s="1" t="s">
        <v>19</v>
      </c>
      <c r="G22" s="2">
        <v>0.0</v>
      </c>
      <c r="H22" s="2">
        <v>0.0</v>
      </c>
      <c r="I22" s="2">
        <v>0.0</v>
      </c>
      <c r="J22" s="1">
        <v>0.0</v>
      </c>
      <c r="K22" s="3">
        <v>0.35</v>
      </c>
      <c r="L22" s="1">
        <v>720.0</v>
      </c>
      <c r="M22" s="1"/>
      <c r="N22" s="4"/>
      <c r="O22" s="1"/>
      <c r="P22" s="1"/>
    </row>
    <row r="23" ht="15.75" customHeight="1">
      <c r="A23" s="1" t="s">
        <v>15</v>
      </c>
      <c r="B23" s="1" t="s">
        <v>81</v>
      </c>
      <c r="C23" s="1"/>
      <c r="D23" s="1" t="s">
        <v>82</v>
      </c>
      <c r="E23" s="1" t="s">
        <v>83</v>
      </c>
      <c r="F23" s="1" t="s">
        <v>19</v>
      </c>
      <c r="G23" s="2">
        <v>0.0</v>
      </c>
      <c r="H23" s="2">
        <v>0.0</v>
      </c>
      <c r="I23" s="2">
        <v>0.0</v>
      </c>
      <c r="J23" s="1">
        <v>0.0</v>
      </c>
      <c r="K23" s="3">
        <v>0.15</v>
      </c>
      <c r="L23" s="1">
        <v>952.0</v>
      </c>
      <c r="M23" s="1"/>
      <c r="N23" s="4"/>
      <c r="O23" s="1"/>
      <c r="P23" s="1"/>
    </row>
    <row r="24" ht="15.75" customHeight="1">
      <c r="A24" s="1" t="s">
        <v>15</v>
      </c>
      <c r="B24" s="1" t="s">
        <v>84</v>
      </c>
      <c r="C24" s="1" t="s">
        <v>23</v>
      </c>
      <c r="D24" s="1" t="s">
        <v>85</v>
      </c>
      <c r="E24" s="1" t="s">
        <v>86</v>
      </c>
      <c r="F24" s="1" t="s">
        <v>19</v>
      </c>
      <c r="G24" s="2">
        <v>0.0</v>
      </c>
      <c r="H24" s="2">
        <v>10584.0</v>
      </c>
      <c r="I24" s="2">
        <v>10000.0</v>
      </c>
      <c r="J24" s="1">
        <v>20584.0</v>
      </c>
      <c r="K24" s="3">
        <v>0.1</v>
      </c>
      <c r="L24" s="1">
        <v>1155.0</v>
      </c>
      <c r="M24" s="1"/>
      <c r="N24" s="4"/>
      <c r="O24" s="1"/>
      <c r="P24" s="1"/>
    </row>
    <row r="25" ht="15.75" customHeight="1">
      <c r="A25" s="1" t="s">
        <v>15</v>
      </c>
      <c r="B25" s="1" t="s">
        <v>87</v>
      </c>
      <c r="C25" s="1"/>
      <c r="D25" s="1" t="s">
        <v>88</v>
      </c>
      <c r="E25" s="1" t="s">
        <v>89</v>
      </c>
      <c r="F25" s="1" t="s">
        <v>19</v>
      </c>
      <c r="G25" s="2">
        <v>1454.0</v>
      </c>
      <c r="H25" s="2">
        <v>46200.0</v>
      </c>
      <c r="I25" s="2">
        <v>0.0</v>
      </c>
      <c r="J25" s="1">
        <v>52274.0</v>
      </c>
      <c r="K25" s="3">
        <v>0.09</v>
      </c>
      <c r="L25" s="1">
        <v>1155.0</v>
      </c>
      <c r="M25" s="1"/>
      <c r="N25" s="4" t="s">
        <v>90</v>
      </c>
      <c r="O25" s="1">
        <v>0.19</v>
      </c>
      <c r="P25" s="1">
        <v>0.2</v>
      </c>
    </row>
    <row r="26" ht="15.75" customHeight="1">
      <c r="A26" s="1" t="s">
        <v>15</v>
      </c>
      <c r="B26" s="1" t="s">
        <v>91</v>
      </c>
      <c r="C26" s="1"/>
      <c r="D26" s="1" t="s">
        <v>92</v>
      </c>
      <c r="E26" s="1"/>
      <c r="F26" s="1" t="s">
        <v>19</v>
      </c>
      <c r="G26" s="2">
        <v>0.0</v>
      </c>
      <c r="H26" s="2">
        <v>0.0</v>
      </c>
      <c r="I26" s="2">
        <v>0.0</v>
      </c>
      <c r="J26" s="1">
        <v>0.0</v>
      </c>
      <c r="K26" s="3">
        <v>0.11</v>
      </c>
      <c r="L26" s="1"/>
      <c r="M26" s="1"/>
      <c r="N26" s="4" t="s">
        <v>93</v>
      </c>
      <c r="O26" s="1">
        <v>0.2</v>
      </c>
      <c r="P26" s="1">
        <v>0.21</v>
      </c>
    </row>
    <row r="27" ht="15.75" customHeight="1">
      <c r="A27" s="1" t="s">
        <v>15</v>
      </c>
      <c r="B27" s="1" t="s">
        <v>94</v>
      </c>
      <c r="C27" s="1"/>
      <c r="D27" s="1" t="s">
        <v>95</v>
      </c>
      <c r="E27" s="1" t="s">
        <v>96</v>
      </c>
      <c r="F27" s="1" t="s">
        <v>19</v>
      </c>
      <c r="G27" s="2">
        <v>0.0</v>
      </c>
      <c r="H27" s="2">
        <v>0.0</v>
      </c>
      <c r="I27" s="2">
        <v>0.0</v>
      </c>
      <c r="J27" s="1">
        <v>0.0</v>
      </c>
      <c r="K27" s="3">
        <v>0.2</v>
      </c>
      <c r="L27" s="1">
        <v>990.0</v>
      </c>
      <c r="M27" s="1"/>
      <c r="N27" s="4" t="s">
        <v>97</v>
      </c>
      <c r="O27" s="1">
        <v>0.15</v>
      </c>
      <c r="P27" s="1">
        <v>0.17</v>
      </c>
    </row>
    <row r="28" ht="15.75" customHeight="1">
      <c r="A28" s="1" t="s">
        <v>15</v>
      </c>
      <c r="B28" s="1" t="s">
        <v>98</v>
      </c>
      <c r="C28" s="1"/>
      <c r="D28" s="1" t="s">
        <v>99</v>
      </c>
      <c r="E28" s="1" t="s">
        <v>100</v>
      </c>
      <c r="F28" s="1" t="s">
        <v>19</v>
      </c>
      <c r="G28" s="2">
        <v>0.0</v>
      </c>
      <c r="H28" s="2">
        <v>0.0</v>
      </c>
      <c r="I28" s="2">
        <v>0.0</v>
      </c>
      <c r="J28" s="1">
        <v>0.0</v>
      </c>
      <c r="K28" s="3">
        <v>0.16</v>
      </c>
      <c r="L28" s="1">
        <v>938.0</v>
      </c>
      <c r="M28" s="1"/>
      <c r="N28" s="1"/>
      <c r="O28" s="1"/>
      <c r="P28" s="1"/>
    </row>
    <row r="29" ht="15.75" customHeight="1">
      <c r="A29" s="1" t="s">
        <v>15</v>
      </c>
      <c r="B29" s="1" t="s">
        <v>101</v>
      </c>
      <c r="C29" s="1"/>
      <c r="D29" s="1" t="s">
        <v>102</v>
      </c>
      <c r="E29" s="1" t="s">
        <v>103</v>
      </c>
      <c r="F29" s="1" t="s">
        <v>19</v>
      </c>
      <c r="G29" s="2">
        <v>0.0</v>
      </c>
      <c r="H29" s="2">
        <v>0.0</v>
      </c>
      <c r="I29" s="2">
        <v>0.0</v>
      </c>
      <c r="J29" s="1">
        <v>0.0</v>
      </c>
      <c r="K29" s="3">
        <v>0.16</v>
      </c>
      <c r="L29" s="1">
        <v>924.0</v>
      </c>
      <c r="M29" s="1"/>
      <c r="N29" s="1"/>
      <c r="O29" s="1"/>
      <c r="P29" s="1"/>
    </row>
    <row r="30" ht="15.75" customHeight="1">
      <c r="A30" s="1" t="s">
        <v>15</v>
      </c>
      <c r="B30" s="1" t="s">
        <v>104</v>
      </c>
      <c r="C30" s="1"/>
      <c r="D30" s="1" t="s">
        <v>105</v>
      </c>
      <c r="E30" s="1" t="s">
        <v>106</v>
      </c>
      <c r="F30" s="1" t="s">
        <v>19</v>
      </c>
      <c r="G30" s="2">
        <v>0.0</v>
      </c>
      <c r="H30" s="2">
        <v>0.0</v>
      </c>
      <c r="I30" s="2">
        <v>0.0</v>
      </c>
      <c r="J30" s="1">
        <v>0.0</v>
      </c>
      <c r="K30" s="3">
        <v>0.14</v>
      </c>
      <c r="L30" s="1">
        <v>1176.0</v>
      </c>
      <c r="M30" s="1"/>
      <c r="N30" s="1"/>
      <c r="O30" s="1"/>
      <c r="P30" s="1"/>
    </row>
    <row r="31" ht="15.75" customHeight="1">
      <c r="A31" s="1" t="s">
        <v>15</v>
      </c>
      <c r="B31" s="1" t="s">
        <v>107</v>
      </c>
      <c r="C31" s="1"/>
      <c r="D31" s="1" t="s">
        <v>108</v>
      </c>
      <c r="E31" s="1" t="s">
        <v>109</v>
      </c>
      <c r="F31" s="1" t="s">
        <v>19</v>
      </c>
      <c r="G31" s="2">
        <v>28224.0</v>
      </c>
      <c r="H31" s="2">
        <v>0.0</v>
      </c>
      <c r="I31" s="2">
        <v>125544.0</v>
      </c>
      <c r="J31" s="1">
        <v>153768.0</v>
      </c>
      <c r="K31" s="3">
        <v>0.11</v>
      </c>
      <c r="L31" s="1">
        <v>1176.0</v>
      </c>
      <c r="M31" s="1"/>
      <c r="N31" s="1"/>
      <c r="O31" s="1"/>
      <c r="P31" s="1"/>
    </row>
    <row r="32" ht="15.75" customHeight="1">
      <c r="A32" s="1" t="s">
        <v>15</v>
      </c>
      <c r="B32" s="1" t="s">
        <v>110</v>
      </c>
      <c r="C32" s="1"/>
      <c r="D32" s="1" t="s">
        <v>111</v>
      </c>
      <c r="E32" s="1" t="s">
        <v>112</v>
      </c>
      <c r="F32" s="1" t="s">
        <v>19</v>
      </c>
      <c r="G32" s="2">
        <v>0.0</v>
      </c>
      <c r="H32" s="2">
        <v>1134.0</v>
      </c>
      <c r="I32" s="2">
        <v>0.0</v>
      </c>
      <c r="J32" s="1">
        <v>1134.0</v>
      </c>
      <c r="K32" s="3">
        <v>0.33</v>
      </c>
      <c r="L32" s="1">
        <v>567.0</v>
      </c>
      <c r="M32" s="1"/>
      <c r="N32" s="1"/>
      <c r="O32" s="1"/>
      <c r="P32" s="1"/>
    </row>
    <row r="33" ht="15.75" customHeight="1">
      <c r="A33" s="1" t="s">
        <v>15</v>
      </c>
      <c r="B33" s="1" t="s">
        <v>113</v>
      </c>
      <c r="C33" s="1"/>
      <c r="D33" s="1" t="s">
        <v>114</v>
      </c>
      <c r="E33" s="1" t="s">
        <v>115</v>
      </c>
      <c r="F33" s="1" t="s">
        <v>19</v>
      </c>
      <c r="G33" s="2">
        <v>0.0</v>
      </c>
      <c r="H33" s="2">
        <v>0.0</v>
      </c>
      <c r="I33" s="2">
        <v>0.0</v>
      </c>
      <c r="J33" s="1">
        <v>0.0</v>
      </c>
      <c r="K33" s="3">
        <v>0.26</v>
      </c>
      <c r="L33" s="1">
        <v>765.0</v>
      </c>
      <c r="M33" s="1"/>
      <c r="N33" s="1"/>
      <c r="O33" s="1"/>
      <c r="P33" s="1"/>
    </row>
    <row r="34" ht="15.75" customHeight="1">
      <c r="A34" s="1" t="s">
        <v>15</v>
      </c>
      <c r="B34" s="1" t="s">
        <v>116</v>
      </c>
      <c r="C34" s="1"/>
      <c r="D34" s="1" t="s">
        <v>117</v>
      </c>
      <c r="E34" s="1" t="s">
        <v>118</v>
      </c>
      <c r="F34" s="1" t="s">
        <v>19</v>
      </c>
      <c r="G34" s="2">
        <v>3465.0</v>
      </c>
      <c r="H34" s="2">
        <v>0.0</v>
      </c>
      <c r="I34" s="2">
        <v>0.0</v>
      </c>
      <c r="J34" s="1">
        <v>3465.0</v>
      </c>
      <c r="K34" s="3">
        <v>0.0</v>
      </c>
      <c r="L34" s="1">
        <v>1155.0</v>
      </c>
      <c r="M34" s="1"/>
      <c r="N34" s="1"/>
      <c r="O34" s="1"/>
      <c r="P34" s="1"/>
    </row>
    <row r="35" ht="15.75" customHeight="1">
      <c r="A35" s="1" t="s">
        <v>15</v>
      </c>
      <c r="B35" s="1" t="s">
        <v>119</v>
      </c>
      <c r="C35" s="1" t="s">
        <v>23</v>
      </c>
      <c r="D35" s="1" t="s">
        <v>120</v>
      </c>
      <c r="E35" s="1">
        <v>4.10060005E8</v>
      </c>
      <c r="F35" s="1" t="s">
        <v>19</v>
      </c>
      <c r="G35" s="2">
        <v>0.0</v>
      </c>
      <c r="H35" s="2">
        <v>0.0</v>
      </c>
      <c r="I35" s="2">
        <v>0.0</v>
      </c>
      <c r="J35" s="1">
        <v>0.0</v>
      </c>
      <c r="K35" s="3">
        <v>0.21</v>
      </c>
      <c r="L35" s="1">
        <v>868.0</v>
      </c>
      <c r="M35" s="1"/>
      <c r="N35" s="1"/>
      <c r="O35" s="1"/>
      <c r="P35" s="1"/>
    </row>
    <row r="36" ht="15.75" customHeight="1">
      <c r="A36" s="1" t="s">
        <v>15</v>
      </c>
      <c r="B36" s="1" t="s">
        <v>121</v>
      </c>
      <c r="C36" s="1"/>
      <c r="D36" s="1" t="s">
        <v>122</v>
      </c>
      <c r="E36" s="1" t="s">
        <v>123</v>
      </c>
      <c r="F36" s="1" t="s">
        <v>19</v>
      </c>
      <c r="G36" s="2">
        <v>0.0</v>
      </c>
      <c r="H36" s="2">
        <v>0.0</v>
      </c>
      <c r="I36" s="2">
        <v>10650.0</v>
      </c>
      <c r="J36" s="1">
        <v>10650.0</v>
      </c>
      <c r="K36" s="3">
        <v>0.18</v>
      </c>
      <c r="L36" s="1">
        <v>660.0</v>
      </c>
      <c r="M36" s="1"/>
      <c r="N36" s="1"/>
      <c r="O36" s="1"/>
      <c r="P36" s="1"/>
    </row>
    <row r="37" ht="15.75" customHeight="1">
      <c r="A37" s="1" t="s">
        <v>15</v>
      </c>
      <c r="B37" s="1" t="s">
        <v>124</v>
      </c>
      <c r="C37" s="1"/>
      <c r="D37" s="1" t="s">
        <v>125</v>
      </c>
      <c r="E37" s="1" t="s">
        <v>124</v>
      </c>
      <c r="F37" s="1" t="s">
        <v>126</v>
      </c>
      <c r="G37" s="2">
        <v>18200.0</v>
      </c>
      <c r="H37" s="2">
        <v>0.0</v>
      </c>
      <c r="I37" s="2">
        <v>0.0</v>
      </c>
      <c r="J37" s="1">
        <v>18200.0</v>
      </c>
      <c r="K37" s="3">
        <v>0.14</v>
      </c>
      <c r="L37" s="1">
        <v>2600.0</v>
      </c>
      <c r="M37" s="1"/>
      <c r="N37" s="1"/>
      <c r="O37" s="1"/>
      <c r="P37" s="1"/>
    </row>
    <row r="38" ht="15.75" customHeight="1">
      <c r="A38" s="1" t="s">
        <v>15</v>
      </c>
      <c r="B38" s="1" t="s">
        <v>127</v>
      </c>
      <c r="C38" s="1"/>
      <c r="D38" s="1" t="s">
        <v>128</v>
      </c>
      <c r="E38" s="1" t="s">
        <v>127</v>
      </c>
      <c r="F38" s="1" t="s">
        <v>126</v>
      </c>
      <c r="G38" s="2">
        <v>0.0</v>
      </c>
      <c r="H38" s="2">
        <v>0.0</v>
      </c>
      <c r="I38" s="2">
        <v>0.0</v>
      </c>
      <c r="J38" s="1">
        <v>0.0</v>
      </c>
      <c r="K38" s="3">
        <v>0.11</v>
      </c>
      <c r="L38" s="1">
        <v>1400.0</v>
      </c>
      <c r="M38" s="1"/>
      <c r="N38" s="1"/>
      <c r="O38" s="1"/>
      <c r="P38" s="1"/>
    </row>
    <row r="39" ht="15.75" customHeight="1">
      <c r="A39" s="1" t="s">
        <v>15</v>
      </c>
      <c r="B39" s="1" t="s">
        <v>129</v>
      </c>
      <c r="C39" s="1"/>
      <c r="D39" s="1" t="s">
        <v>130</v>
      </c>
      <c r="E39" s="1" t="s">
        <v>129</v>
      </c>
      <c r="F39" s="1" t="s">
        <v>126</v>
      </c>
      <c r="G39" s="2">
        <v>0.0</v>
      </c>
      <c r="H39" s="2">
        <v>0.0</v>
      </c>
      <c r="I39" s="2">
        <v>0.0</v>
      </c>
      <c r="J39" s="1">
        <v>0.0</v>
      </c>
      <c r="K39" s="3">
        <v>0.0</v>
      </c>
      <c r="L39" s="1">
        <v>2400.0</v>
      </c>
      <c r="M39" s="1"/>
      <c r="N39" s="1"/>
      <c r="O39" s="1"/>
      <c r="P39" s="1"/>
    </row>
    <row r="40" ht="15.75" customHeight="1">
      <c r="A40" s="1" t="s">
        <v>15</v>
      </c>
      <c r="B40" s="1" t="s">
        <v>131</v>
      </c>
      <c r="C40" s="1" t="s">
        <v>23</v>
      </c>
      <c r="D40" s="1" t="s">
        <v>132</v>
      </c>
      <c r="E40" s="1" t="s">
        <v>131</v>
      </c>
      <c r="F40" s="1" t="s">
        <v>126</v>
      </c>
      <c r="G40" s="2">
        <v>0.0</v>
      </c>
      <c r="H40" s="2">
        <v>0.0</v>
      </c>
      <c r="I40" s="2">
        <v>0.0</v>
      </c>
      <c r="J40" s="1">
        <v>0.0</v>
      </c>
      <c r="K40" s="3">
        <v>0.17</v>
      </c>
      <c r="L40" s="1">
        <v>1400.0</v>
      </c>
      <c r="M40" s="1"/>
      <c r="N40" s="1"/>
      <c r="O40" s="1"/>
      <c r="P40" s="1"/>
    </row>
    <row r="41" ht="15.75" customHeight="1">
      <c r="A41" s="1" t="s">
        <v>15</v>
      </c>
      <c r="B41" s="1" t="s">
        <v>133</v>
      </c>
      <c r="C41" s="1"/>
      <c r="D41" s="1" t="s">
        <v>134</v>
      </c>
      <c r="E41" s="1" t="s">
        <v>133</v>
      </c>
      <c r="F41" s="1" t="s">
        <v>126</v>
      </c>
      <c r="G41" s="2">
        <v>700.0</v>
      </c>
      <c r="H41" s="2">
        <v>0.0</v>
      </c>
      <c r="I41" s="2">
        <v>0.0</v>
      </c>
      <c r="J41" s="1">
        <v>700.0</v>
      </c>
      <c r="K41" s="3">
        <v>0.32</v>
      </c>
      <c r="L41" s="1">
        <v>700.0</v>
      </c>
      <c r="M41" s="1"/>
      <c r="N41" s="1"/>
      <c r="O41" s="1"/>
      <c r="P41" s="1"/>
    </row>
    <row r="42" ht="15.75" customHeight="1">
      <c r="A42" s="1" t="s">
        <v>15</v>
      </c>
      <c r="B42" s="1" t="s">
        <v>135</v>
      </c>
      <c r="C42" s="1"/>
      <c r="D42" s="1" t="s">
        <v>136</v>
      </c>
      <c r="E42" s="1" t="s">
        <v>135</v>
      </c>
      <c r="F42" s="1" t="s">
        <v>126</v>
      </c>
      <c r="G42" s="2">
        <v>19200.0</v>
      </c>
      <c r="H42" s="2">
        <v>0.0</v>
      </c>
      <c r="I42" s="2">
        <v>0.0</v>
      </c>
      <c r="J42" s="1">
        <v>19200.0</v>
      </c>
      <c r="K42" s="3">
        <v>0.26</v>
      </c>
      <c r="L42" s="1">
        <v>800.0</v>
      </c>
      <c r="M42" s="1"/>
      <c r="N42" s="1"/>
      <c r="O42" s="1"/>
      <c r="P42" s="1"/>
    </row>
    <row r="43" ht="15.75" customHeight="1">
      <c r="A43" s="1" t="s">
        <v>15</v>
      </c>
      <c r="B43" s="1" t="s">
        <v>137</v>
      </c>
      <c r="C43" s="1"/>
      <c r="D43" s="1" t="s">
        <v>138</v>
      </c>
      <c r="E43" s="1" t="s">
        <v>137</v>
      </c>
      <c r="F43" s="1" t="s">
        <v>126</v>
      </c>
      <c r="G43" s="2">
        <v>15600.0</v>
      </c>
      <c r="H43" s="2">
        <v>0.0</v>
      </c>
      <c r="I43" s="2">
        <v>0.0</v>
      </c>
      <c r="J43" s="1">
        <v>15600.0</v>
      </c>
      <c r="K43" s="3">
        <v>0.13</v>
      </c>
      <c r="L43" s="1">
        <v>1950.0</v>
      </c>
      <c r="M43" s="1"/>
      <c r="N43" s="1"/>
      <c r="O43" s="1"/>
      <c r="P43" s="1"/>
    </row>
    <row r="44" ht="15.75" customHeight="1">
      <c r="A44" s="1" t="s">
        <v>15</v>
      </c>
      <c r="B44" s="1" t="s">
        <v>139</v>
      </c>
      <c r="C44" s="1"/>
      <c r="D44" s="1" t="s">
        <v>140</v>
      </c>
      <c r="E44" s="1" t="s">
        <v>139</v>
      </c>
      <c r="F44" s="1" t="s">
        <v>126</v>
      </c>
      <c r="G44" s="2">
        <v>0.0</v>
      </c>
      <c r="H44" s="2">
        <v>0.0</v>
      </c>
      <c r="I44" s="2">
        <v>0.0</v>
      </c>
      <c r="J44" s="1">
        <v>0.0</v>
      </c>
      <c r="K44" s="3">
        <v>0.11</v>
      </c>
      <c r="L44" s="1">
        <v>1950.0</v>
      </c>
      <c r="M44" s="1"/>
      <c r="N44" s="1"/>
      <c r="O44" s="1"/>
      <c r="P44" s="1"/>
    </row>
    <row r="45" ht="15.75" customHeight="1">
      <c r="A45" s="1" t="s">
        <v>15</v>
      </c>
      <c r="B45" s="1" t="s">
        <v>141</v>
      </c>
      <c r="C45" s="1" t="s">
        <v>23</v>
      </c>
      <c r="D45" s="1" t="s">
        <v>30</v>
      </c>
      <c r="E45" s="1" t="s">
        <v>141</v>
      </c>
      <c r="F45" s="1" t="s">
        <v>126</v>
      </c>
      <c r="G45" s="2">
        <v>0.0</v>
      </c>
      <c r="H45" s="2">
        <v>0.0</v>
      </c>
      <c r="I45" s="2">
        <v>0.0</v>
      </c>
      <c r="J45" s="1">
        <v>0.0</v>
      </c>
      <c r="K45" s="3">
        <v>0.14</v>
      </c>
      <c r="L45" s="1">
        <v>1950.0</v>
      </c>
      <c r="M45" s="1"/>
      <c r="N45" s="1"/>
      <c r="O45" s="1"/>
      <c r="P45" s="1"/>
    </row>
    <row r="46" ht="15.75" customHeight="1">
      <c r="A46" s="1" t="s">
        <v>15</v>
      </c>
      <c r="B46" s="1" t="s">
        <v>142</v>
      </c>
      <c r="C46" s="1"/>
      <c r="D46" s="1" t="s">
        <v>143</v>
      </c>
      <c r="E46" s="1" t="s">
        <v>142</v>
      </c>
      <c r="F46" s="1" t="s">
        <v>126</v>
      </c>
      <c r="G46" s="2">
        <v>93600.0</v>
      </c>
      <c r="H46" s="2">
        <v>28300.0</v>
      </c>
      <c r="I46" s="2">
        <v>0.0</v>
      </c>
      <c r="J46" s="1">
        <v>121900.0</v>
      </c>
      <c r="K46" s="3">
        <v>0.12</v>
      </c>
      <c r="L46" s="1">
        <v>2600.0</v>
      </c>
      <c r="M46" s="1"/>
      <c r="N46" s="1"/>
      <c r="O46" s="1"/>
      <c r="P46" s="1"/>
    </row>
    <row r="47" ht="15.75" customHeight="1">
      <c r="A47" s="1" t="s">
        <v>15</v>
      </c>
      <c r="B47" s="1" t="s">
        <v>144</v>
      </c>
      <c r="C47" s="1"/>
      <c r="D47" s="1" t="s">
        <v>145</v>
      </c>
      <c r="E47" s="1" t="s">
        <v>144</v>
      </c>
      <c r="F47" s="1" t="s">
        <v>126</v>
      </c>
      <c r="G47" s="2">
        <v>17850.0</v>
      </c>
      <c r="H47" s="2">
        <v>0.0</v>
      </c>
      <c r="I47" s="2">
        <v>0.0</v>
      </c>
      <c r="J47" s="1">
        <v>17850.0</v>
      </c>
      <c r="K47" s="3">
        <v>0.14</v>
      </c>
      <c r="L47" s="1">
        <v>1275.0</v>
      </c>
      <c r="M47" s="1"/>
      <c r="N47" s="1"/>
      <c r="O47" s="1"/>
      <c r="P47" s="1"/>
    </row>
    <row r="48" ht="15.75" customHeight="1">
      <c r="A48" s="1" t="s">
        <v>15</v>
      </c>
      <c r="B48" s="1" t="s">
        <v>146</v>
      </c>
      <c r="C48" s="1" t="s">
        <v>23</v>
      </c>
      <c r="D48" s="1" t="s">
        <v>147</v>
      </c>
      <c r="E48" s="1" t="s">
        <v>146</v>
      </c>
      <c r="F48" s="1" t="s">
        <v>126</v>
      </c>
      <c r="G48" s="2">
        <v>0.0</v>
      </c>
      <c r="H48" s="2">
        <v>0.0</v>
      </c>
      <c r="I48" s="2">
        <v>0.0</v>
      </c>
      <c r="J48" s="1">
        <v>0.0</v>
      </c>
      <c r="K48" s="3">
        <v>0.19</v>
      </c>
      <c r="L48" s="1">
        <v>950.0</v>
      </c>
      <c r="M48" s="1"/>
      <c r="N48" s="1"/>
      <c r="O48" s="1"/>
      <c r="P48" s="1"/>
    </row>
    <row r="49" ht="15.75" customHeight="1">
      <c r="A49" s="1" t="s">
        <v>15</v>
      </c>
      <c r="B49" s="1" t="s">
        <v>148</v>
      </c>
      <c r="C49" s="1"/>
      <c r="D49" s="1" t="s">
        <v>149</v>
      </c>
      <c r="E49" s="1" t="s">
        <v>148</v>
      </c>
      <c r="F49" s="1" t="s">
        <v>126</v>
      </c>
      <c r="G49" s="2">
        <v>0.0</v>
      </c>
      <c r="H49" s="2">
        <v>0.0</v>
      </c>
      <c r="I49" s="2">
        <v>0.0</v>
      </c>
      <c r="J49" s="1">
        <v>0.0</v>
      </c>
      <c r="K49" s="3">
        <v>0.15</v>
      </c>
      <c r="L49" s="1">
        <v>950.0</v>
      </c>
      <c r="M49" s="1"/>
      <c r="N49" s="1"/>
      <c r="O49" s="1"/>
      <c r="P49" s="1"/>
    </row>
    <row r="50" ht="15.75" customHeight="1">
      <c r="A50" s="1" t="s">
        <v>15</v>
      </c>
      <c r="B50" s="1" t="s">
        <v>150</v>
      </c>
      <c r="C50" s="1" t="s">
        <v>23</v>
      </c>
      <c r="D50" s="1" t="s">
        <v>151</v>
      </c>
      <c r="E50" s="1" t="s">
        <v>152</v>
      </c>
      <c r="F50" s="1" t="s">
        <v>126</v>
      </c>
      <c r="G50" s="2">
        <v>5600.0</v>
      </c>
      <c r="H50" s="2">
        <v>5600.0</v>
      </c>
      <c r="I50" s="2">
        <v>0.0</v>
      </c>
      <c r="J50" s="1">
        <v>16800.0</v>
      </c>
      <c r="K50" s="3">
        <v>0.35</v>
      </c>
      <c r="L50" s="1">
        <v>700.0</v>
      </c>
      <c r="M50" s="1"/>
      <c r="N50" s="1"/>
      <c r="O50" s="1"/>
      <c r="P50" s="1"/>
    </row>
    <row r="51" ht="15.75" customHeight="1">
      <c r="A51" s="1" t="s">
        <v>15</v>
      </c>
      <c r="B51" s="1" t="s">
        <v>153</v>
      </c>
      <c r="C51" s="1" t="s">
        <v>23</v>
      </c>
      <c r="D51" s="1" t="s">
        <v>154</v>
      </c>
      <c r="E51" s="1" t="s">
        <v>153</v>
      </c>
      <c r="F51" s="1" t="s">
        <v>126</v>
      </c>
      <c r="G51" s="2">
        <v>0.0</v>
      </c>
      <c r="H51" s="2">
        <v>0.0</v>
      </c>
      <c r="I51" s="2">
        <v>0.0</v>
      </c>
      <c r="J51" s="1">
        <v>0.0</v>
      </c>
      <c r="K51" s="3">
        <v>0.2</v>
      </c>
      <c r="L51" s="1">
        <v>950.0</v>
      </c>
      <c r="M51" s="1"/>
      <c r="N51" s="1"/>
      <c r="O51" s="1"/>
      <c r="P51" s="1"/>
    </row>
    <row r="52" ht="15.75" customHeight="1">
      <c r="A52" s="1" t="s">
        <v>15</v>
      </c>
      <c r="B52" s="1" t="s">
        <v>155</v>
      </c>
      <c r="C52" s="1"/>
      <c r="D52" s="1" t="s">
        <v>156</v>
      </c>
      <c r="E52" s="1" t="s">
        <v>155</v>
      </c>
      <c r="F52" s="1" t="s">
        <v>126</v>
      </c>
      <c r="G52" s="2">
        <v>0.0</v>
      </c>
      <c r="H52" s="2">
        <v>0.0</v>
      </c>
      <c r="I52" s="2">
        <v>0.0</v>
      </c>
      <c r="J52" s="1">
        <v>0.0</v>
      </c>
      <c r="K52" s="3">
        <v>0.27</v>
      </c>
      <c r="L52" s="1">
        <v>950.0</v>
      </c>
      <c r="M52" s="1"/>
      <c r="N52" s="1"/>
      <c r="O52" s="1"/>
      <c r="P52" s="1"/>
    </row>
    <row r="53" ht="15.75" customHeight="1">
      <c r="A53" s="1" t="s">
        <v>15</v>
      </c>
      <c r="B53" s="1" t="s">
        <v>157</v>
      </c>
      <c r="C53" s="1"/>
      <c r="D53" s="1" t="s">
        <v>158</v>
      </c>
      <c r="E53" s="1" t="s">
        <v>157</v>
      </c>
      <c r="F53" s="1" t="s">
        <v>126</v>
      </c>
      <c r="G53" s="2">
        <v>0.0</v>
      </c>
      <c r="H53" s="2">
        <v>0.0</v>
      </c>
      <c r="I53" s="2">
        <v>0.0</v>
      </c>
      <c r="J53" s="1">
        <v>0.0</v>
      </c>
      <c r="K53" s="3">
        <v>0.14</v>
      </c>
      <c r="L53" s="1">
        <v>1400.0</v>
      </c>
      <c r="M53" s="1"/>
      <c r="N53" s="1"/>
      <c r="O53" s="1"/>
      <c r="P53" s="1"/>
    </row>
    <row r="54" ht="15.75" customHeight="1">
      <c r="A54" s="1" t="s">
        <v>15</v>
      </c>
      <c r="B54" s="1" t="s">
        <v>159</v>
      </c>
      <c r="C54" s="1" t="s">
        <v>23</v>
      </c>
      <c r="D54" s="1" t="s">
        <v>160</v>
      </c>
      <c r="E54" s="1" t="s">
        <v>159</v>
      </c>
      <c r="F54" s="1" t="s">
        <v>126</v>
      </c>
      <c r="G54" s="2">
        <v>0.0</v>
      </c>
      <c r="H54" s="2">
        <v>0.0</v>
      </c>
      <c r="I54" s="2">
        <v>0.0</v>
      </c>
      <c r="J54" s="1">
        <v>0.0</v>
      </c>
      <c r="K54" s="3">
        <v>0.0</v>
      </c>
      <c r="L54" s="1">
        <v>1400.0</v>
      </c>
      <c r="M54" s="1"/>
      <c r="N54" s="1"/>
      <c r="O54" s="1"/>
      <c r="P54" s="1"/>
    </row>
    <row r="55" ht="15.75" customHeight="1">
      <c r="A55" s="1" t="s">
        <v>15</v>
      </c>
      <c r="B55" s="1" t="s">
        <v>161</v>
      </c>
      <c r="C55" s="1" t="s">
        <v>23</v>
      </c>
      <c r="D55" s="1" t="s">
        <v>162</v>
      </c>
      <c r="E55" s="1" t="s">
        <v>161</v>
      </c>
      <c r="F55" s="1" t="s">
        <v>126</v>
      </c>
      <c r="G55" s="2">
        <v>0.0</v>
      </c>
      <c r="H55" s="2">
        <v>0.0</v>
      </c>
      <c r="I55" s="2">
        <v>0.0</v>
      </c>
      <c r="J55" s="1">
        <v>0.0</v>
      </c>
      <c r="K55" s="3">
        <v>0.17</v>
      </c>
      <c r="L55" s="1">
        <v>1400.0</v>
      </c>
      <c r="M55" s="1"/>
      <c r="N55" s="1"/>
      <c r="O55" s="1"/>
      <c r="P55" s="1"/>
    </row>
    <row r="56" ht="15.75" customHeight="1">
      <c r="A56" s="1" t="s">
        <v>15</v>
      </c>
      <c r="B56" s="1" t="s">
        <v>163</v>
      </c>
      <c r="C56" s="1" t="s">
        <v>23</v>
      </c>
      <c r="D56" s="1" t="s">
        <v>164</v>
      </c>
      <c r="E56" s="1" t="s">
        <v>163</v>
      </c>
      <c r="F56" s="1" t="s">
        <v>126</v>
      </c>
      <c r="G56" s="2">
        <v>0.0</v>
      </c>
      <c r="H56" s="2">
        <v>0.0</v>
      </c>
      <c r="I56" s="2">
        <v>0.0</v>
      </c>
      <c r="J56" s="1">
        <v>0.0</v>
      </c>
      <c r="K56" s="3">
        <v>0.15</v>
      </c>
      <c r="L56" s="1">
        <v>750.0</v>
      </c>
      <c r="M56" s="1"/>
      <c r="N56" s="1"/>
      <c r="O56" s="1"/>
      <c r="P56" s="1"/>
    </row>
    <row r="57" ht="15.75" customHeight="1">
      <c r="A57" s="1" t="s">
        <v>15</v>
      </c>
      <c r="B57" s="1" t="s">
        <v>165</v>
      </c>
      <c r="C57" s="1"/>
      <c r="D57" s="1" t="s">
        <v>166</v>
      </c>
      <c r="E57" s="1" t="s">
        <v>165</v>
      </c>
      <c r="F57" s="1" t="s">
        <v>126</v>
      </c>
      <c r="G57" s="2">
        <v>0.0</v>
      </c>
      <c r="H57" s="2">
        <v>0.0</v>
      </c>
      <c r="I57" s="2">
        <v>0.0</v>
      </c>
      <c r="J57" s="1">
        <v>0.0</v>
      </c>
      <c r="K57" s="3">
        <v>0.0</v>
      </c>
      <c r="L57" s="1">
        <v>1300.0</v>
      </c>
      <c r="M57" s="1"/>
      <c r="N57" s="1"/>
      <c r="O57" s="1"/>
      <c r="P57" s="1"/>
    </row>
    <row r="58" ht="15.75" customHeight="1">
      <c r="A58" s="1" t="s">
        <v>15</v>
      </c>
      <c r="B58" s="1" t="s">
        <v>167</v>
      </c>
      <c r="C58" s="1"/>
      <c r="D58" s="1" t="s">
        <v>168</v>
      </c>
      <c r="E58" s="1" t="s">
        <v>167</v>
      </c>
      <c r="F58" s="1" t="s">
        <v>126</v>
      </c>
      <c r="G58" s="2">
        <v>0.0</v>
      </c>
      <c r="H58" s="2">
        <v>39000.0</v>
      </c>
      <c r="I58" s="2">
        <v>0.0</v>
      </c>
      <c r="J58" s="1">
        <v>39000.0</v>
      </c>
      <c r="K58" s="3">
        <v>0.15</v>
      </c>
      <c r="L58" s="1">
        <v>750.0</v>
      </c>
      <c r="M58" s="1"/>
      <c r="N58" s="1"/>
      <c r="O58" s="1"/>
      <c r="P58" s="1"/>
    </row>
    <row r="59" ht="15.75" customHeight="1">
      <c r="A59" s="1" t="s">
        <v>15</v>
      </c>
      <c r="B59" s="1" t="s">
        <v>169</v>
      </c>
      <c r="C59" s="1"/>
      <c r="D59" s="1" t="s">
        <v>170</v>
      </c>
      <c r="E59" s="1" t="s">
        <v>169</v>
      </c>
      <c r="F59" s="1" t="s">
        <v>126</v>
      </c>
      <c r="G59" s="2">
        <v>0.0</v>
      </c>
      <c r="H59" s="2">
        <v>0.0</v>
      </c>
      <c r="I59" s="2">
        <v>0.0</v>
      </c>
      <c r="J59" s="1">
        <v>0.0</v>
      </c>
      <c r="K59" s="3">
        <v>0.17</v>
      </c>
      <c r="L59" s="1">
        <v>750.0</v>
      </c>
      <c r="M59" s="1"/>
      <c r="N59" s="1"/>
      <c r="O59" s="1"/>
      <c r="P59" s="1"/>
    </row>
    <row r="60" ht="15.75" customHeight="1">
      <c r="A60" s="1" t="s">
        <v>15</v>
      </c>
      <c r="B60" s="1" t="s">
        <v>171</v>
      </c>
      <c r="C60" s="1"/>
      <c r="D60" s="1" t="s">
        <v>172</v>
      </c>
      <c r="E60" s="1" t="s">
        <v>173</v>
      </c>
      <c r="F60" s="1" t="s">
        <v>126</v>
      </c>
      <c r="G60" s="2">
        <v>0.0</v>
      </c>
      <c r="H60" s="2">
        <v>0.0</v>
      </c>
      <c r="I60" s="2">
        <v>4705.0</v>
      </c>
      <c r="J60" s="1">
        <v>4705.0</v>
      </c>
      <c r="K60" s="3">
        <v>0.12</v>
      </c>
      <c r="L60" s="1">
        <v>770.0</v>
      </c>
      <c r="M60" s="1"/>
      <c r="N60" s="1"/>
      <c r="O60" s="1"/>
      <c r="P60" s="1"/>
    </row>
    <row r="61" ht="15.75" customHeight="1">
      <c r="A61" s="1" t="s">
        <v>15</v>
      </c>
      <c r="B61" s="1" t="s">
        <v>174</v>
      </c>
      <c r="C61" s="1"/>
      <c r="D61" s="1" t="s">
        <v>175</v>
      </c>
      <c r="E61" s="1" t="s">
        <v>176</v>
      </c>
      <c r="F61" s="1" t="s">
        <v>126</v>
      </c>
      <c r="G61" s="2">
        <v>11000.0</v>
      </c>
      <c r="H61" s="2">
        <v>6000.0</v>
      </c>
      <c r="I61" s="2">
        <v>0.0</v>
      </c>
      <c r="J61" s="1">
        <v>20000.0</v>
      </c>
      <c r="K61" s="3">
        <v>0.31</v>
      </c>
      <c r="L61" s="1">
        <v>500.0</v>
      </c>
      <c r="M61" s="1"/>
      <c r="N61" s="1"/>
      <c r="O61" s="1"/>
      <c r="P61" s="1"/>
    </row>
    <row r="62" ht="15.75" customHeight="1">
      <c r="A62" s="1" t="s">
        <v>15</v>
      </c>
      <c r="B62" s="1" t="s">
        <v>177</v>
      </c>
      <c r="C62" s="1"/>
      <c r="D62" s="1" t="s">
        <v>178</v>
      </c>
      <c r="E62" s="1" t="s">
        <v>177</v>
      </c>
      <c r="F62" s="1" t="s">
        <v>126</v>
      </c>
      <c r="G62" s="2">
        <v>79300.0</v>
      </c>
      <c r="H62" s="2">
        <v>58500.0</v>
      </c>
      <c r="I62" s="2">
        <v>0.0</v>
      </c>
      <c r="J62" s="1">
        <v>137800.0</v>
      </c>
      <c r="K62" s="3">
        <v>0.1</v>
      </c>
      <c r="L62" s="1">
        <v>1300.0</v>
      </c>
      <c r="M62" s="1"/>
      <c r="N62" s="1"/>
      <c r="O62" s="1"/>
      <c r="P62" s="1"/>
    </row>
    <row r="63" ht="15.75" customHeight="1">
      <c r="A63" s="1" t="s">
        <v>15</v>
      </c>
      <c r="B63" s="1" t="s">
        <v>179</v>
      </c>
      <c r="C63" s="1"/>
      <c r="D63" s="1" t="s">
        <v>180</v>
      </c>
      <c r="E63" s="1" t="s">
        <v>179</v>
      </c>
      <c r="F63" s="1" t="s">
        <v>126</v>
      </c>
      <c r="G63" s="2">
        <v>0.0</v>
      </c>
      <c r="H63" s="2">
        <v>0.0</v>
      </c>
      <c r="I63" s="2">
        <v>0.0</v>
      </c>
      <c r="J63" s="1">
        <v>0.0</v>
      </c>
      <c r="K63" s="3">
        <v>0.16</v>
      </c>
      <c r="L63" s="1">
        <v>800.0</v>
      </c>
      <c r="M63" s="1"/>
      <c r="N63" s="1"/>
      <c r="O63" s="1"/>
      <c r="P63" s="1"/>
    </row>
    <row r="64" ht="15.75" customHeight="1">
      <c r="A64" s="1" t="s">
        <v>15</v>
      </c>
      <c r="B64" s="1" t="s">
        <v>181</v>
      </c>
      <c r="C64" s="1"/>
      <c r="D64" s="1" t="s">
        <v>182</v>
      </c>
      <c r="E64" s="1" t="s">
        <v>181</v>
      </c>
      <c r="F64" s="1" t="s">
        <v>126</v>
      </c>
      <c r="G64" s="2">
        <v>0.0</v>
      </c>
      <c r="H64" s="2">
        <v>0.0</v>
      </c>
      <c r="I64" s="2">
        <v>0.0</v>
      </c>
      <c r="J64" s="1">
        <v>0.0</v>
      </c>
      <c r="K64" s="3">
        <v>0.14</v>
      </c>
      <c r="L64" s="1">
        <v>1300.0</v>
      </c>
      <c r="M64" s="1"/>
      <c r="N64" s="1"/>
      <c r="O64" s="1"/>
      <c r="P64" s="1"/>
    </row>
    <row r="65" ht="15.75" customHeight="1">
      <c r="A65" s="1" t="s">
        <v>15</v>
      </c>
      <c r="B65" s="1" t="s">
        <v>183</v>
      </c>
      <c r="C65" s="1"/>
      <c r="D65" s="1" t="s">
        <v>184</v>
      </c>
      <c r="E65" s="1"/>
      <c r="F65" s="1" t="s">
        <v>185</v>
      </c>
      <c r="G65" s="2">
        <v>5400.0</v>
      </c>
      <c r="H65" s="2">
        <v>0.0</v>
      </c>
      <c r="I65" s="2">
        <v>2000.0</v>
      </c>
      <c r="J65" s="1">
        <v>7400.0</v>
      </c>
      <c r="K65" s="3">
        <v>0.25</v>
      </c>
      <c r="L65" s="1">
        <v>21600.0</v>
      </c>
      <c r="M65" s="1"/>
      <c r="N65" s="1"/>
      <c r="O65" s="1"/>
      <c r="P65" s="1"/>
    </row>
    <row r="66" ht="15.75" customHeight="1">
      <c r="A66" s="1" t="s">
        <v>15</v>
      </c>
      <c r="B66" s="1" t="s">
        <v>186</v>
      </c>
      <c r="C66" s="1"/>
      <c r="D66" s="1" t="s">
        <v>187</v>
      </c>
      <c r="E66" s="1"/>
      <c r="F66" s="1" t="s">
        <v>185</v>
      </c>
      <c r="G66" s="2">
        <v>0.0</v>
      </c>
      <c r="H66" s="2">
        <v>0.0</v>
      </c>
      <c r="I66" s="2">
        <v>0.0</v>
      </c>
      <c r="J66" s="1">
        <v>0.0</v>
      </c>
      <c r="K66" s="3">
        <v>0.3</v>
      </c>
      <c r="L66" s="1">
        <v>12000.0</v>
      </c>
      <c r="M66" s="1"/>
      <c r="N66" s="1"/>
      <c r="O66" s="1"/>
      <c r="P66" s="1"/>
    </row>
    <row r="67" ht="15.75" customHeight="1">
      <c r="A67" s="1" t="s">
        <v>15</v>
      </c>
      <c r="B67" s="1" t="s">
        <v>188</v>
      </c>
      <c r="C67" s="1"/>
      <c r="D67" s="1" t="s">
        <v>189</v>
      </c>
      <c r="E67" s="1" t="s">
        <v>190</v>
      </c>
      <c r="F67" s="1" t="s">
        <v>191</v>
      </c>
      <c r="G67" s="2">
        <v>0.0</v>
      </c>
      <c r="H67" s="2">
        <v>4160.0</v>
      </c>
      <c r="I67" s="2">
        <v>0.0</v>
      </c>
      <c r="J67" s="1">
        <v>4160.0</v>
      </c>
      <c r="K67" s="3">
        <v>0.59</v>
      </c>
      <c r="L67" s="1">
        <v>4160.0</v>
      </c>
      <c r="M67" s="1"/>
      <c r="N67" s="1"/>
      <c r="O67" s="1"/>
      <c r="P67" s="1"/>
    </row>
    <row r="68" ht="15.75" customHeight="1">
      <c r="A68" s="1" t="s">
        <v>15</v>
      </c>
      <c r="B68" s="1" t="s">
        <v>192</v>
      </c>
      <c r="C68" s="1"/>
      <c r="D68" s="1" t="s">
        <v>193</v>
      </c>
      <c r="E68" s="1" t="s">
        <v>193</v>
      </c>
      <c r="F68" s="1" t="s">
        <v>191</v>
      </c>
      <c r="G68" s="2">
        <v>0.0</v>
      </c>
      <c r="H68" s="2">
        <v>0.0</v>
      </c>
      <c r="I68" s="2">
        <v>0.0</v>
      </c>
      <c r="J68" s="1">
        <v>0.0</v>
      </c>
      <c r="K68" s="3">
        <v>0.53</v>
      </c>
      <c r="L68" s="1">
        <v>4800.0</v>
      </c>
      <c r="M68" s="1"/>
      <c r="N68" s="1"/>
      <c r="O68" s="1"/>
      <c r="P68" s="1"/>
    </row>
    <row r="69" ht="15.75" customHeight="1">
      <c r="A69" s="1" t="s">
        <v>15</v>
      </c>
      <c r="B69" s="1" t="s">
        <v>194</v>
      </c>
      <c r="C69" s="1"/>
      <c r="D69" s="1" t="s">
        <v>195</v>
      </c>
      <c r="E69" s="1" t="s">
        <v>194</v>
      </c>
      <c r="F69" s="1" t="s">
        <v>191</v>
      </c>
      <c r="G69" s="2">
        <v>8960.0</v>
      </c>
      <c r="H69" s="2">
        <v>13350.0</v>
      </c>
      <c r="I69" s="2">
        <v>0.0</v>
      </c>
      <c r="J69" s="1">
        <v>22310.0</v>
      </c>
      <c r="K69" s="3">
        <v>0.56</v>
      </c>
      <c r="L69" s="1">
        <v>4480.0</v>
      </c>
      <c r="M69" s="1"/>
      <c r="N69" s="1"/>
      <c r="O69" s="1"/>
      <c r="P69" s="1"/>
    </row>
    <row r="70" ht="15.75" customHeight="1">
      <c r="A70" s="1"/>
      <c r="B70" s="1"/>
      <c r="C70" s="1"/>
      <c r="D70" s="1"/>
      <c r="E70" s="1"/>
      <c r="F70" s="1"/>
      <c r="G70" s="2"/>
      <c r="H70" s="2"/>
      <c r="I70" s="2"/>
      <c r="J70" s="1"/>
      <c r="K70" s="3"/>
      <c r="L70" s="1"/>
      <c r="M70" s="1"/>
      <c r="N70" s="1"/>
      <c r="O70" s="1"/>
      <c r="P70" s="1"/>
    </row>
    <row r="71" ht="15.75" customHeight="1">
      <c r="G71" s="5"/>
      <c r="H71" s="5"/>
      <c r="I71" s="5"/>
      <c r="K71" s="6"/>
    </row>
    <row r="72" ht="15.75" customHeight="1">
      <c r="G72" s="5"/>
      <c r="H72" s="5"/>
      <c r="I72" s="5"/>
      <c r="K72" s="6"/>
    </row>
    <row r="73" ht="15.75" customHeight="1">
      <c r="G73" s="5"/>
      <c r="H73" s="5"/>
      <c r="I73" s="5"/>
      <c r="K73" s="6"/>
    </row>
    <row r="74" ht="15.75" customHeight="1">
      <c r="G74" s="5"/>
      <c r="H74" s="5"/>
      <c r="I74" s="5"/>
      <c r="K74" s="6"/>
    </row>
    <row r="75" ht="15.75" customHeight="1">
      <c r="G75" s="5"/>
      <c r="H75" s="5"/>
      <c r="I75" s="5"/>
      <c r="K75" s="6"/>
    </row>
    <row r="76" ht="15.75" customHeight="1">
      <c r="G76" s="5"/>
      <c r="H76" s="5"/>
      <c r="I76" s="5"/>
      <c r="K76" s="6"/>
    </row>
    <row r="77" ht="15.75" customHeight="1">
      <c r="G77" s="5"/>
      <c r="H77" s="5"/>
      <c r="I77" s="5"/>
      <c r="K77" s="6"/>
    </row>
    <row r="78" ht="15.75" customHeight="1">
      <c r="G78" s="5"/>
      <c r="H78" s="5"/>
      <c r="I78" s="5"/>
      <c r="K78" s="6"/>
    </row>
    <row r="79" ht="15.75" customHeight="1">
      <c r="G79" s="5"/>
      <c r="H79" s="5"/>
      <c r="I79" s="5"/>
      <c r="K79" s="6"/>
    </row>
    <row r="80" ht="15.75" customHeight="1">
      <c r="G80" s="5"/>
      <c r="H80" s="5"/>
      <c r="I80" s="5"/>
      <c r="K80" s="6"/>
    </row>
    <row r="81" ht="15.75" customHeight="1">
      <c r="G81" s="5"/>
      <c r="H81" s="5"/>
      <c r="I81" s="5"/>
      <c r="K81" s="6"/>
    </row>
    <row r="82" ht="15.75" customHeight="1">
      <c r="G82" s="5"/>
      <c r="H82" s="5"/>
      <c r="I82" s="5"/>
      <c r="K82" s="6"/>
    </row>
    <row r="83" ht="15.75" customHeight="1">
      <c r="G83" s="5"/>
      <c r="H83" s="5"/>
      <c r="I83" s="5"/>
      <c r="K83" s="6"/>
    </row>
    <row r="84" ht="15.75" customHeight="1">
      <c r="G84" s="5"/>
      <c r="H84" s="5"/>
      <c r="I84" s="5"/>
      <c r="K84" s="6"/>
    </row>
    <row r="85" ht="15.75" customHeight="1">
      <c r="G85" s="5"/>
      <c r="H85" s="5"/>
      <c r="I85" s="5"/>
      <c r="K85" s="6"/>
    </row>
    <row r="86" ht="15.75" customHeight="1">
      <c r="G86" s="5"/>
      <c r="H86" s="5"/>
      <c r="I86" s="5"/>
      <c r="K86" s="6"/>
    </row>
    <row r="87" ht="15.75" customHeight="1">
      <c r="G87" s="5"/>
      <c r="H87" s="5"/>
      <c r="I87" s="5"/>
      <c r="K87" s="6"/>
    </row>
    <row r="88" ht="15.75" customHeight="1">
      <c r="G88" s="5"/>
      <c r="H88" s="5"/>
      <c r="I88" s="5"/>
      <c r="K88" s="6"/>
    </row>
    <row r="89" ht="15.75" customHeight="1">
      <c r="G89" s="5"/>
      <c r="H89" s="5"/>
      <c r="I89" s="5"/>
      <c r="K89" s="6"/>
    </row>
    <row r="90" ht="15.75" customHeight="1">
      <c r="G90" s="5"/>
      <c r="H90" s="5"/>
      <c r="I90" s="5"/>
      <c r="K90" s="6"/>
    </row>
    <row r="91" ht="15.75" customHeight="1">
      <c r="G91" s="5"/>
      <c r="H91" s="5"/>
      <c r="I91" s="5"/>
      <c r="K91" s="6"/>
    </row>
    <row r="92" ht="15.75" customHeight="1">
      <c r="G92" s="5"/>
      <c r="H92" s="5"/>
      <c r="I92" s="5"/>
      <c r="K92" s="6"/>
    </row>
    <row r="93" ht="15.75" customHeight="1">
      <c r="G93" s="5"/>
      <c r="H93" s="5"/>
      <c r="I93" s="5"/>
      <c r="K93" s="6"/>
    </row>
    <row r="94" ht="15.75" customHeight="1">
      <c r="G94" s="5"/>
      <c r="H94" s="5"/>
      <c r="I94" s="5"/>
      <c r="K94" s="6"/>
    </row>
    <row r="95" ht="15.75" customHeight="1">
      <c r="G95" s="5"/>
      <c r="H95" s="5"/>
      <c r="I95" s="5"/>
      <c r="K95" s="6"/>
    </row>
    <row r="96" ht="15.75" customHeight="1">
      <c r="G96" s="5"/>
      <c r="H96" s="5"/>
      <c r="I96" s="5"/>
      <c r="K96" s="6"/>
    </row>
    <row r="97" ht="15.75" customHeight="1">
      <c r="G97" s="5"/>
      <c r="H97" s="5"/>
      <c r="I97" s="5"/>
      <c r="K97" s="6"/>
    </row>
    <row r="98" ht="15.75" customHeight="1">
      <c r="G98" s="5"/>
      <c r="H98" s="5"/>
      <c r="I98" s="5"/>
      <c r="K98" s="6"/>
    </row>
    <row r="99" ht="15.75" customHeight="1">
      <c r="G99" s="5"/>
      <c r="H99" s="5"/>
      <c r="I99" s="5"/>
      <c r="K99" s="6"/>
    </row>
    <row r="100" ht="15.75" customHeight="1">
      <c r="G100" s="5"/>
      <c r="H100" s="5"/>
      <c r="I100" s="5"/>
      <c r="K100" s="6"/>
    </row>
    <row r="101" ht="15.75" customHeight="1">
      <c r="G101" s="5"/>
      <c r="H101" s="5"/>
      <c r="I101" s="5"/>
      <c r="K101" s="6"/>
    </row>
    <row r="102" ht="15.75" customHeight="1">
      <c r="G102" s="5"/>
      <c r="H102" s="5"/>
      <c r="I102" s="5"/>
      <c r="K102" s="6"/>
    </row>
    <row r="103" ht="15.75" customHeight="1">
      <c r="G103" s="5"/>
      <c r="H103" s="5"/>
      <c r="I103" s="5"/>
      <c r="K103" s="6"/>
    </row>
    <row r="104" ht="15.75" customHeight="1">
      <c r="G104" s="5"/>
      <c r="H104" s="5"/>
      <c r="I104" s="5"/>
      <c r="K104" s="6"/>
    </row>
    <row r="105" ht="15.75" customHeight="1">
      <c r="G105" s="5"/>
      <c r="H105" s="5"/>
      <c r="I105" s="5"/>
      <c r="K105" s="6"/>
    </row>
    <row r="106" ht="15.75" customHeight="1">
      <c r="G106" s="5"/>
      <c r="H106" s="5"/>
      <c r="I106" s="5"/>
      <c r="K106" s="6"/>
    </row>
    <row r="107" ht="15.75" customHeight="1">
      <c r="G107" s="5"/>
      <c r="H107" s="5"/>
      <c r="I107" s="5"/>
      <c r="K107" s="6"/>
    </row>
    <row r="108" ht="15.75" customHeight="1">
      <c r="G108" s="5"/>
      <c r="H108" s="5"/>
      <c r="I108" s="5"/>
      <c r="K108" s="6"/>
    </row>
    <row r="109" ht="15.75" customHeight="1">
      <c r="G109" s="5"/>
      <c r="H109" s="5"/>
      <c r="I109" s="5"/>
      <c r="K109" s="6"/>
    </row>
    <row r="110" ht="15.75" customHeight="1">
      <c r="G110" s="5"/>
      <c r="H110" s="5"/>
      <c r="I110" s="5"/>
      <c r="K110" s="6"/>
    </row>
    <row r="111" ht="15.75" customHeight="1">
      <c r="G111" s="5"/>
      <c r="H111" s="5"/>
      <c r="I111" s="5"/>
      <c r="K111" s="6"/>
    </row>
    <row r="112" ht="15.75" customHeight="1">
      <c r="G112" s="5"/>
      <c r="H112" s="5"/>
      <c r="I112" s="5"/>
      <c r="K112" s="6"/>
    </row>
    <row r="113" ht="15.75" customHeight="1">
      <c r="G113" s="5"/>
      <c r="H113" s="5"/>
      <c r="I113" s="5"/>
      <c r="K113" s="6"/>
    </row>
    <row r="114" ht="15.75" customHeight="1">
      <c r="G114" s="5"/>
      <c r="H114" s="5"/>
      <c r="I114" s="5"/>
      <c r="K114" s="6"/>
    </row>
    <row r="115" ht="15.75" customHeight="1">
      <c r="G115" s="5"/>
      <c r="H115" s="5"/>
      <c r="I115" s="5"/>
      <c r="K115" s="6"/>
    </row>
    <row r="116" ht="15.75" customHeight="1">
      <c r="G116" s="5"/>
      <c r="H116" s="5"/>
      <c r="I116" s="5"/>
      <c r="K116" s="6"/>
    </row>
    <row r="117" ht="15.75" customHeight="1">
      <c r="G117" s="5"/>
      <c r="H117" s="5"/>
      <c r="I117" s="5"/>
      <c r="K117" s="6"/>
    </row>
    <row r="118" ht="15.75" customHeight="1">
      <c r="G118" s="5"/>
      <c r="H118" s="5"/>
      <c r="I118" s="5"/>
      <c r="K118" s="6"/>
    </row>
    <row r="119" ht="15.75" customHeight="1">
      <c r="G119" s="5"/>
      <c r="H119" s="5"/>
      <c r="I119" s="5"/>
      <c r="K119" s="6"/>
    </row>
    <row r="120" ht="15.75" customHeight="1">
      <c r="G120" s="5"/>
      <c r="H120" s="5"/>
      <c r="I120" s="5"/>
      <c r="K120" s="6"/>
    </row>
    <row r="121" ht="15.75" customHeight="1">
      <c r="G121" s="5"/>
      <c r="H121" s="5"/>
      <c r="I121" s="5"/>
      <c r="K121" s="6"/>
    </row>
    <row r="122" ht="15.75" customHeight="1">
      <c r="G122" s="5"/>
      <c r="H122" s="5"/>
      <c r="I122" s="5"/>
      <c r="K122" s="6"/>
    </row>
    <row r="123" ht="15.75" customHeight="1">
      <c r="G123" s="5"/>
      <c r="H123" s="5"/>
      <c r="I123" s="5"/>
      <c r="K123" s="6"/>
    </row>
    <row r="124" ht="15.75" customHeight="1">
      <c r="G124" s="5"/>
      <c r="H124" s="5"/>
      <c r="I124" s="5"/>
      <c r="K124" s="6"/>
    </row>
    <row r="125" ht="15.75" customHeight="1">
      <c r="G125" s="5"/>
      <c r="H125" s="5"/>
      <c r="I125" s="5"/>
      <c r="K125" s="6"/>
    </row>
    <row r="126" ht="15.75" customHeight="1">
      <c r="G126" s="5"/>
      <c r="H126" s="5"/>
      <c r="I126" s="5"/>
      <c r="K126" s="6"/>
    </row>
    <row r="127" ht="15.75" customHeight="1">
      <c r="G127" s="5"/>
      <c r="H127" s="5"/>
      <c r="I127" s="5"/>
      <c r="K127" s="6"/>
    </row>
    <row r="128" ht="15.75" customHeight="1">
      <c r="G128" s="5"/>
      <c r="H128" s="5"/>
      <c r="I128" s="5"/>
      <c r="K128" s="6"/>
    </row>
    <row r="129" ht="15.75" customHeight="1">
      <c r="G129" s="5"/>
      <c r="H129" s="5"/>
      <c r="I129" s="5"/>
      <c r="K129" s="6"/>
    </row>
    <row r="130" ht="15.75" customHeight="1">
      <c r="G130" s="5"/>
      <c r="H130" s="5"/>
      <c r="I130" s="5"/>
      <c r="K130" s="6"/>
    </row>
    <row r="131" ht="15.75" customHeight="1">
      <c r="G131" s="5"/>
      <c r="H131" s="5"/>
      <c r="I131" s="5"/>
      <c r="K131" s="6"/>
    </row>
    <row r="132" ht="15.75" customHeight="1">
      <c r="G132" s="5"/>
      <c r="H132" s="5"/>
      <c r="I132" s="5"/>
      <c r="K132" s="6"/>
    </row>
    <row r="133" ht="15.75" customHeight="1">
      <c r="G133" s="5"/>
      <c r="H133" s="5"/>
      <c r="I133" s="5"/>
      <c r="K133" s="6"/>
    </row>
    <row r="134" ht="15.75" customHeight="1">
      <c r="G134" s="5"/>
      <c r="H134" s="5"/>
      <c r="I134" s="5"/>
      <c r="K134" s="6"/>
    </row>
    <row r="135" ht="15.75" customHeight="1">
      <c r="G135" s="5"/>
      <c r="H135" s="5"/>
      <c r="I135" s="5"/>
      <c r="K135" s="6"/>
    </row>
    <row r="136" ht="15.75" customHeight="1">
      <c r="G136" s="5"/>
      <c r="H136" s="5"/>
      <c r="I136" s="5"/>
      <c r="K136" s="6"/>
    </row>
    <row r="137" ht="15.75" customHeight="1">
      <c r="G137" s="5"/>
      <c r="H137" s="5"/>
      <c r="I137" s="5"/>
      <c r="K137" s="6"/>
    </row>
    <row r="138" ht="15.75" customHeight="1">
      <c r="G138" s="5"/>
      <c r="H138" s="5"/>
      <c r="I138" s="5"/>
      <c r="K138" s="6"/>
    </row>
    <row r="139" ht="15.75" customHeight="1">
      <c r="G139" s="5"/>
      <c r="H139" s="5"/>
      <c r="I139" s="5"/>
      <c r="K139" s="6"/>
    </row>
    <row r="140" ht="15.75" customHeight="1">
      <c r="G140" s="5"/>
      <c r="H140" s="5"/>
      <c r="I140" s="5"/>
      <c r="K140" s="6"/>
    </row>
    <row r="141" ht="15.75" customHeight="1">
      <c r="G141" s="5"/>
      <c r="H141" s="5"/>
      <c r="I141" s="5"/>
      <c r="K141" s="6"/>
    </row>
    <row r="142" ht="15.75" customHeight="1">
      <c r="G142" s="5"/>
      <c r="H142" s="5"/>
      <c r="I142" s="5"/>
      <c r="K142" s="6"/>
    </row>
    <row r="143" ht="15.75" customHeight="1">
      <c r="G143" s="5"/>
      <c r="H143" s="5"/>
      <c r="I143" s="5"/>
      <c r="K143" s="6"/>
    </row>
    <row r="144" ht="15.75" customHeight="1">
      <c r="G144" s="5"/>
      <c r="H144" s="5"/>
      <c r="I144" s="5"/>
      <c r="K144" s="6"/>
    </row>
    <row r="145" ht="15.75" customHeight="1">
      <c r="G145" s="5"/>
      <c r="H145" s="5"/>
      <c r="I145" s="5"/>
      <c r="K145" s="6"/>
    </row>
    <row r="146" ht="15.75" customHeight="1">
      <c r="G146" s="5"/>
      <c r="H146" s="5"/>
      <c r="I146" s="5"/>
      <c r="K146" s="6"/>
    </row>
    <row r="147" ht="15.75" customHeight="1">
      <c r="G147" s="5"/>
      <c r="H147" s="5"/>
      <c r="I147" s="5"/>
      <c r="K147" s="6"/>
    </row>
    <row r="148" ht="15.75" customHeight="1">
      <c r="G148" s="5"/>
      <c r="H148" s="5"/>
      <c r="I148" s="5"/>
      <c r="K148" s="6"/>
    </row>
    <row r="149" ht="15.75" customHeight="1">
      <c r="G149" s="5"/>
      <c r="H149" s="5"/>
      <c r="I149" s="5"/>
      <c r="K149" s="6"/>
    </row>
    <row r="150" ht="15.75" customHeight="1">
      <c r="G150" s="5"/>
      <c r="H150" s="5"/>
      <c r="I150" s="5"/>
      <c r="K150" s="6"/>
    </row>
    <row r="151" ht="15.75" customHeight="1">
      <c r="G151" s="5"/>
      <c r="H151" s="5"/>
      <c r="I151" s="5"/>
      <c r="K151" s="6"/>
    </row>
    <row r="152" ht="15.75" customHeight="1">
      <c r="G152" s="5"/>
      <c r="H152" s="5"/>
      <c r="I152" s="5"/>
      <c r="K152" s="6"/>
    </row>
    <row r="153" ht="15.75" customHeight="1">
      <c r="G153" s="5"/>
      <c r="H153" s="5"/>
      <c r="I153" s="5"/>
      <c r="K153" s="6"/>
    </row>
    <row r="154" ht="15.75" customHeight="1">
      <c r="G154" s="5"/>
      <c r="H154" s="5"/>
      <c r="I154" s="5"/>
      <c r="K154" s="6"/>
    </row>
    <row r="155" ht="15.75" customHeight="1">
      <c r="G155" s="5"/>
      <c r="H155" s="5"/>
      <c r="I155" s="5"/>
      <c r="K155" s="6"/>
    </row>
    <row r="156" ht="15.75" customHeight="1">
      <c r="G156" s="5"/>
      <c r="H156" s="5"/>
      <c r="I156" s="5"/>
      <c r="K156" s="6"/>
    </row>
    <row r="157" ht="15.75" customHeight="1">
      <c r="G157" s="5"/>
      <c r="H157" s="5"/>
      <c r="I157" s="5"/>
      <c r="K157" s="6"/>
    </row>
    <row r="158" ht="15.75" customHeight="1">
      <c r="G158" s="5"/>
      <c r="H158" s="5"/>
      <c r="I158" s="5"/>
      <c r="K158" s="6"/>
    </row>
    <row r="159" ht="15.75" customHeight="1">
      <c r="G159" s="5"/>
      <c r="H159" s="5"/>
      <c r="I159" s="5"/>
      <c r="K159" s="6"/>
    </row>
    <row r="160" ht="15.75" customHeight="1">
      <c r="G160" s="5"/>
      <c r="H160" s="5"/>
      <c r="I160" s="5"/>
      <c r="K160" s="6"/>
    </row>
    <row r="161" ht="15.75" customHeight="1">
      <c r="G161" s="5"/>
      <c r="H161" s="5"/>
      <c r="I161" s="5"/>
      <c r="K161" s="6"/>
    </row>
    <row r="162" ht="15.75" customHeight="1">
      <c r="G162" s="5"/>
      <c r="H162" s="5"/>
      <c r="I162" s="5"/>
      <c r="K162" s="6"/>
    </row>
    <row r="163" ht="15.75" customHeight="1">
      <c r="G163" s="5"/>
      <c r="H163" s="5"/>
      <c r="I163" s="5"/>
      <c r="K163" s="6"/>
    </row>
    <row r="164" ht="15.75" customHeight="1">
      <c r="G164" s="5"/>
      <c r="H164" s="5"/>
      <c r="I164" s="5"/>
      <c r="K164" s="6"/>
    </row>
    <row r="165" ht="15.75" customHeight="1">
      <c r="G165" s="5"/>
      <c r="H165" s="5"/>
      <c r="I165" s="5"/>
      <c r="K165" s="6"/>
    </row>
    <row r="166" ht="15.75" customHeight="1">
      <c r="G166" s="5"/>
      <c r="H166" s="5"/>
      <c r="I166" s="5"/>
      <c r="K166" s="6"/>
    </row>
    <row r="167" ht="15.75" customHeight="1">
      <c r="G167" s="5"/>
      <c r="H167" s="5"/>
      <c r="I167" s="5"/>
      <c r="K167" s="6"/>
    </row>
    <row r="168" ht="15.75" customHeight="1">
      <c r="G168" s="5"/>
      <c r="H168" s="5"/>
      <c r="I168" s="5"/>
      <c r="K168" s="6"/>
    </row>
    <row r="169" ht="15.75" customHeight="1">
      <c r="G169" s="5"/>
      <c r="H169" s="5"/>
      <c r="I169" s="5"/>
      <c r="K169" s="6"/>
    </row>
    <row r="170" ht="15.75" customHeight="1">
      <c r="G170" s="5"/>
      <c r="H170" s="5"/>
      <c r="I170" s="5"/>
      <c r="K170" s="6"/>
    </row>
    <row r="171" ht="15.75" customHeight="1">
      <c r="G171" s="5"/>
      <c r="H171" s="5"/>
      <c r="I171" s="5"/>
      <c r="K171" s="6"/>
    </row>
    <row r="172" ht="15.75" customHeight="1">
      <c r="G172" s="5"/>
      <c r="H172" s="5"/>
      <c r="I172" s="5"/>
      <c r="K172" s="6"/>
    </row>
    <row r="173" ht="15.75" customHeight="1">
      <c r="G173" s="5"/>
      <c r="H173" s="5"/>
      <c r="I173" s="5"/>
      <c r="K173" s="6"/>
    </row>
    <row r="174" ht="15.75" customHeight="1">
      <c r="G174" s="5"/>
      <c r="H174" s="5"/>
      <c r="I174" s="5"/>
      <c r="K174" s="6"/>
    </row>
    <row r="175" ht="15.75" customHeight="1">
      <c r="G175" s="5"/>
      <c r="H175" s="5"/>
      <c r="I175" s="5"/>
      <c r="K175" s="6"/>
    </row>
    <row r="176" ht="15.75" customHeight="1">
      <c r="G176" s="5"/>
      <c r="H176" s="5"/>
      <c r="I176" s="5"/>
      <c r="K176" s="6"/>
    </row>
    <row r="177" ht="15.75" customHeight="1">
      <c r="G177" s="5"/>
      <c r="H177" s="5"/>
      <c r="I177" s="5"/>
      <c r="K177" s="6"/>
    </row>
    <row r="178" ht="15.75" customHeight="1">
      <c r="G178" s="5"/>
      <c r="H178" s="5"/>
      <c r="I178" s="5"/>
      <c r="K178" s="6"/>
    </row>
    <row r="179" ht="15.75" customHeight="1">
      <c r="G179" s="5"/>
      <c r="H179" s="5"/>
      <c r="I179" s="5"/>
      <c r="K179" s="6"/>
    </row>
    <row r="180" ht="15.75" customHeight="1">
      <c r="G180" s="5"/>
      <c r="H180" s="5"/>
      <c r="I180" s="5"/>
      <c r="K180" s="6"/>
    </row>
    <row r="181" ht="15.75" customHeight="1">
      <c r="G181" s="5"/>
      <c r="H181" s="5"/>
      <c r="I181" s="5"/>
      <c r="K181" s="6"/>
    </row>
    <row r="182" ht="15.75" customHeight="1">
      <c r="G182" s="5"/>
      <c r="H182" s="5"/>
      <c r="I182" s="5"/>
      <c r="K182" s="6"/>
    </row>
    <row r="183" ht="15.75" customHeight="1">
      <c r="G183" s="5"/>
      <c r="H183" s="5"/>
      <c r="I183" s="5"/>
      <c r="K183" s="6"/>
    </row>
    <row r="184" ht="15.75" customHeight="1">
      <c r="G184" s="5"/>
      <c r="H184" s="5"/>
      <c r="I184" s="5"/>
      <c r="K184" s="6"/>
    </row>
    <row r="185" ht="15.75" customHeight="1">
      <c r="G185" s="5"/>
      <c r="H185" s="5"/>
      <c r="I185" s="5"/>
      <c r="K185" s="6"/>
    </row>
    <row r="186" ht="15.75" customHeight="1">
      <c r="G186" s="5"/>
      <c r="H186" s="5"/>
      <c r="I186" s="5"/>
      <c r="K186" s="6"/>
    </row>
    <row r="187" ht="15.75" customHeight="1">
      <c r="G187" s="5"/>
      <c r="H187" s="5"/>
      <c r="I187" s="5"/>
      <c r="K187" s="6"/>
    </row>
    <row r="188" ht="15.75" customHeight="1">
      <c r="G188" s="5"/>
      <c r="H188" s="5"/>
      <c r="I188" s="5"/>
      <c r="K188" s="6"/>
    </row>
    <row r="189" ht="15.75" customHeight="1">
      <c r="G189" s="5"/>
      <c r="H189" s="5"/>
      <c r="I189" s="5"/>
      <c r="K189" s="6"/>
    </row>
    <row r="190" ht="15.75" customHeight="1">
      <c r="G190" s="5"/>
      <c r="H190" s="5"/>
      <c r="I190" s="5"/>
      <c r="K190" s="6"/>
    </row>
    <row r="191" ht="15.75" customHeight="1">
      <c r="G191" s="5"/>
      <c r="H191" s="5"/>
      <c r="I191" s="5"/>
      <c r="K191" s="6"/>
    </row>
    <row r="192" ht="15.75" customHeight="1">
      <c r="G192" s="5"/>
      <c r="H192" s="5"/>
      <c r="I192" s="5"/>
      <c r="K192" s="6"/>
    </row>
    <row r="193" ht="15.75" customHeight="1">
      <c r="G193" s="5"/>
      <c r="H193" s="5"/>
      <c r="I193" s="5"/>
      <c r="K193" s="6"/>
    </row>
    <row r="194" ht="15.75" customHeight="1">
      <c r="G194" s="5"/>
      <c r="H194" s="5"/>
      <c r="I194" s="5"/>
      <c r="K194" s="6"/>
    </row>
    <row r="195" ht="15.75" customHeight="1">
      <c r="G195" s="5"/>
      <c r="H195" s="5"/>
      <c r="I195" s="5"/>
      <c r="K195" s="6"/>
    </row>
    <row r="196" ht="15.75" customHeight="1">
      <c r="G196" s="5"/>
      <c r="H196" s="5"/>
      <c r="I196" s="5"/>
      <c r="K196" s="6"/>
    </row>
    <row r="197" ht="15.75" customHeight="1">
      <c r="G197" s="5"/>
      <c r="H197" s="5"/>
      <c r="I197" s="5"/>
      <c r="K197" s="6"/>
    </row>
    <row r="198" ht="15.75" customHeight="1">
      <c r="G198" s="5"/>
      <c r="H198" s="5"/>
      <c r="I198" s="5"/>
      <c r="K198" s="6"/>
    </row>
    <row r="199" ht="15.75" customHeight="1">
      <c r="G199" s="5"/>
      <c r="H199" s="5"/>
      <c r="I199" s="5"/>
      <c r="K199" s="6"/>
    </row>
    <row r="200" ht="15.75" customHeight="1">
      <c r="G200" s="5"/>
      <c r="H200" s="5"/>
      <c r="I200" s="5"/>
      <c r="K200" s="6"/>
    </row>
    <row r="201" ht="15.75" customHeight="1">
      <c r="G201" s="5"/>
      <c r="H201" s="5"/>
      <c r="I201" s="5"/>
      <c r="K201" s="6"/>
    </row>
    <row r="202" ht="15.75" customHeight="1">
      <c r="G202" s="5"/>
      <c r="H202" s="5"/>
      <c r="I202" s="5"/>
      <c r="K202" s="6"/>
    </row>
    <row r="203" ht="15.75" customHeight="1">
      <c r="G203" s="5"/>
      <c r="H203" s="5"/>
      <c r="I203" s="5"/>
      <c r="K203" s="6"/>
    </row>
    <row r="204" ht="15.75" customHeight="1">
      <c r="G204" s="5"/>
      <c r="H204" s="5"/>
      <c r="I204" s="5"/>
      <c r="K204" s="6"/>
    </row>
    <row r="205" ht="15.75" customHeight="1">
      <c r="G205" s="5"/>
      <c r="H205" s="5"/>
      <c r="I205" s="5"/>
      <c r="K205" s="6"/>
    </row>
    <row r="206" ht="15.75" customHeight="1">
      <c r="G206" s="5"/>
      <c r="H206" s="5"/>
      <c r="I206" s="5"/>
      <c r="K206" s="6"/>
    </row>
    <row r="207" ht="15.75" customHeight="1">
      <c r="G207" s="5"/>
      <c r="H207" s="5"/>
      <c r="I207" s="5"/>
      <c r="K207" s="6"/>
    </row>
    <row r="208" ht="15.75" customHeight="1">
      <c r="G208" s="5"/>
      <c r="H208" s="5"/>
      <c r="I208" s="5"/>
      <c r="K208" s="6"/>
    </row>
    <row r="209" ht="15.75" customHeight="1">
      <c r="G209" s="5"/>
      <c r="H209" s="5"/>
      <c r="I209" s="5"/>
      <c r="K209" s="6"/>
    </row>
    <row r="210" ht="15.75" customHeight="1">
      <c r="G210" s="5"/>
      <c r="H210" s="5"/>
      <c r="I210" s="5"/>
      <c r="K210" s="6"/>
    </row>
    <row r="211" ht="15.75" customHeight="1">
      <c r="G211" s="5"/>
      <c r="H211" s="5"/>
      <c r="I211" s="5"/>
      <c r="K211" s="6"/>
    </row>
    <row r="212" ht="15.75" customHeight="1">
      <c r="G212" s="5"/>
      <c r="H212" s="5"/>
      <c r="I212" s="5"/>
      <c r="K212" s="6"/>
    </row>
    <row r="213" ht="15.75" customHeight="1">
      <c r="G213" s="5"/>
      <c r="H213" s="5"/>
      <c r="I213" s="5"/>
      <c r="K213" s="6"/>
    </row>
    <row r="214" ht="15.75" customHeight="1">
      <c r="G214" s="5"/>
      <c r="H214" s="5"/>
      <c r="I214" s="5"/>
      <c r="K214" s="6"/>
    </row>
    <row r="215" ht="15.75" customHeight="1">
      <c r="G215" s="5"/>
      <c r="H215" s="5"/>
      <c r="I215" s="5"/>
      <c r="K215" s="6"/>
    </row>
    <row r="216" ht="15.75" customHeight="1">
      <c r="G216" s="5"/>
      <c r="H216" s="5"/>
      <c r="I216" s="5"/>
      <c r="K216" s="6"/>
    </row>
    <row r="217" ht="15.75" customHeight="1">
      <c r="G217" s="5"/>
      <c r="H217" s="5"/>
      <c r="I217" s="5"/>
      <c r="K217" s="6"/>
    </row>
    <row r="218" ht="15.75" customHeight="1">
      <c r="G218" s="5"/>
      <c r="H218" s="5"/>
      <c r="I218" s="5"/>
      <c r="K218" s="6"/>
    </row>
    <row r="219" ht="15.75" customHeight="1">
      <c r="G219" s="5"/>
      <c r="H219" s="5"/>
      <c r="I219" s="5"/>
      <c r="K219" s="6"/>
    </row>
    <row r="220" ht="15.75" customHeight="1">
      <c r="G220" s="5"/>
      <c r="H220" s="5"/>
      <c r="I220" s="5"/>
      <c r="K220" s="6"/>
    </row>
    <row r="221" ht="15.75" customHeight="1">
      <c r="G221" s="5"/>
      <c r="H221" s="5"/>
      <c r="I221" s="5"/>
      <c r="K221" s="6"/>
    </row>
    <row r="222" ht="15.75" customHeight="1">
      <c r="G222" s="5"/>
      <c r="H222" s="5"/>
      <c r="I222" s="5"/>
      <c r="K222" s="6"/>
    </row>
    <row r="223" ht="15.75" customHeight="1">
      <c r="G223" s="5"/>
      <c r="H223" s="5"/>
      <c r="I223" s="5"/>
      <c r="K223" s="6"/>
    </row>
    <row r="224" ht="15.75" customHeight="1">
      <c r="G224" s="5"/>
      <c r="H224" s="5"/>
      <c r="I224" s="5"/>
      <c r="K224" s="6"/>
    </row>
    <row r="225" ht="15.75" customHeight="1">
      <c r="G225" s="5"/>
      <c r="H225" s="5"/>
      <c r="I225" s="5"/>
      <c r="K225" s="6"/>
    </row>
    <row r="226" ht="15.75" customHeight="1">
      <c r="G226" s="5"/>
      <c r="H226" s="5"/>
      <c r="I226" s="5"/>
      <c r="K226" s="6"/>
    </row>
    <row r="227" ht="15.75" customHeight="1">
      <c r="G227" s="5"/>
      <c r="H227" s="5"/>
      <c r="I227" s="5"/>
      <c r="K227" s="6"/>
    </row>
    <row r="228" ht="15.75" customHeight="1">
      <c r="G228" s="5"/>
      <c r="H228" s="5"/>
      <c r="I228" s="5"/>
      <c r="K228" s="6"/>
    </row>
    <row r="229" ht="15.75" customHeight="1">
      <c r="G229" s="5"/>
      <c r="H229" s="5"/>
      <c r="I229" s="5"/>
      <c r="K229" s="6"/>
    </row>
    <row r="230" ht="15.75" customHeight="1">
      <c r="G230" s="5"/>
      <c r="H230" s="5"/>
      <c r="I230" s="5"/>
      <c r="K230" s="6"/>
    </row>
    <row r="231" ht="15.75" customHeight="1">
      <c r="G231" s="5"/>
      <c r="H231" s="5"/>
      <c r="I231" s="5"/>
      <c r="K231" s="6"/>
    </row>
    <row r="232" ht="15.75" customHeight="1">
      <c r="G232" s="5"/>
      <c r="H232" s="5"/>
      <c r="I232" s="5"/>
      <c r="K232" s="6"/>
    </row>
    <row r="233" ht="15.75" customHeight="1">
      <c r="G233" s="5"/>
      <c r="H233" s="5"/>
      <c r="I233" s="5"/>
      <c r="K233" s="6"/>
    </row>
    <row r="234" ht="15.75" customHeight="1">
      <c r="G234" s="5"/>
      <c r="H234" s="5"/>
      <c r="I234" s="5"/>
      <c r="K234" s="6"/>
    </row>
    <row r="235" ht="15.75" customHeight="1">
      <c r="G235" s="5"/>
      <c r="H235" s="5"/>
      <c r="I235" s="5"/>
      <c r="K235" s="6"/>
    </row>
    <row r="236" ht="15.75" customHeight="1">
      <c r="G236" s="5"/>
      <c r="H236" s="5"/>
      <c r="I236" s="5"/>
      <c r="K236" s="6"/>
    </row>
    <row r="237" ht="15.75" customHeight="1">
      <c r="G237" s="5"/>
      <c r="H237" s="5"/>
      <c r="I237" s="5"/>
      <c r="K237" s="6"/>
    </row>
    <row r="238" ht="15.75" customHeight="1">
      <c r="G238" s="5"/>
      <c r="H238" s="5"/>
      <c r="I238" s="5"/>
      <c r="K238" s="6"/>
    </row>
    <row r="239" ht="15.75" customHeight="1">
      <c r="G239" s="5"/>
      <c r="H239" s="5"/>
      <c r="I239" s="5"/>
      <c r="K239" s="6"/>
    </row>
    <row r="240" ht="15.75" customHeight="1">
      <c r="G240" s="5"/>
      <c r="H240" s="5"/>
      <c r="I240" s="5"/>
      <c r="K240" s="6"/>
    </row>
    <row r="241" ht="15.75" customHeight="1">
      <c r="G241" s="5"/>
      <c r="H241" s="5"/>
      <c r="I241" s="5"/>
      <c r="K241" s="6"/>
    </row>
    <row r="242" ht="15.75" customHeight="1">
      <c r="G242" s="5"/>
      <c r="H242" s="5"/>
      <c r="I242" s="5"/>
      <c r="K242" s="6"/>
    </row>
    <row r="243" ht="15.75" customHeight="1">
      <c r="G243" s="5"/>
      <c r="H243" s="5"/>
      <c r="I243" s="5"/>
      <c r="K243" s="6"/>
    </row>
    <row r="244" ht="15.75" customHeight="1">
      <c r="G244" s="5"/>
      <c r="H244" s="5"/>
      <c r="I244" s="5"/>
      <c r="K244" s="6"/>
    </row>
    <row r="245" ht="15.75" customHeight="1">
      <c r="G245" s="5"/>
      <c r="H245" s="5"/>
      <c r="I245" s="5"/>
      <c r="K245" s="6"/>
    </row>
    <row r="246" ht="15.75" customHeight="1">
      <c r="G246" s="5"/>
      <c r="H246" s="5"/>
      <c r="I246" s="5"/>
      <c r="K246" s="6"/>
    </row>
    <row r="247" ht="15.75" customHeight="1">
      <c r="G247" s="5"/>
      <c r="H247" s="5"/>
      <c r="I247" s="5"/>
      <c r="K247" s="6"/>
    </row>
    <row r="248" ht="15.75" customHeight="1">
      <c r="G248" s="5"/>
      <c r="H248" s="5"/>
      <c r="I248" s="5"/>
      <c r="K248" s="6"/>
    </row>
    <row r="249" ht="15.75" customHeight="1">
      <c r="G249" s="5"/>
      <c r="H249" s="5"/>
      <c r="I249" s="5"/>
      <c r="K249" s="6"/>
    </row>
    <row r="250" ht="15.75" customHeight="1">
      <c r="G250" s="5"/>
      <c r="H250" s="5"/>
      <c r="I250" s="5"/>
      <c r="K250" s="6"/>
    </row>
    <row r="251" ht="15.75" customHeight="1">
      <c r="G251" s="5"/>
      <c r="H251" s="5"/>
      <c r="I251" s="5"/>
      <c r="K251" s="6"/>
    </row>
    <row r="252" ht="15.75" customHeight="1">
      <c r="G252" s="5"/>
      <c r="H252" s="5"/>
      <c r="I252" s="5"/>
      <c r="K252" s="6"/>
    </row>
    <row r="253" ht="15.75" customHeight="1">
      <c r="G253" s="5"/>
      <c r="H253" s="5"/>
      <c r="I253" s="5"/>
      <c r="K253" s="6"/>
    </row>
    <row r="254" ht="15.75" customHeight="1">
      <c r="G254" s="5"/>
      <c r="H254" s="5"/>
      <c r="I254" s="5"/>
      <c r="K254" s="6"/>
    </row>
    <row r="255" ht="15.75" customHeight="1">
      <c r="G255" s="5"/>
      <c r="H255" s="5"/>
      <c r="I255" s="5"/>
      <c r="K255" s="6"/>
    </row>
    <row r="256" ht="15.75" customHeight="1">
      <c r="G256" s="5"/>
      <c r="H256" s="5"/>
      <c r="I256" s="5"/>
      <c r="K256" s="6"/>
    </row>
    <row r="257" ht="15.75" customHeight="1">
      <c r="G257" s="5"/>
      <c r="H257" s="5"/>
      <c r="I257" s="5"/>
      <c r="K257" s="6"/>
    </row>
    <row r="258" ht="15.75" customHeight="1">
      <c r="G258" s="5"/>
      <c r="H258" s="5"/>
      <c r="I258" s="5"/>
      <c r="K258" s="6"/>
    </row>
    <row r="259" ht="15.75" customHeight="1">
      <c r="G259" s="5"/>
      <c r="H259" s="5"/>
      <c r="I259" s="5"/>
      <c r="K259" s="6"/>
    </row>
    <row r="260" ht="15.75" customHeight="1">
      <c r="G260" s="5"/>
      <c r="H260" s="5"/>
      <c r="I260" s="5"/>
      <c r="K260" s="6"/>
    </row>
    <row r="261" ht="15.75" customHeight="1">
      <c r="G261" s="5"/>
      <c r="H261" s="5"/>
      <c r="I261" s="5"/>
      <c r="K261" s="6"/>
    </row>
    <row r="262" ht="15.75" customHeight="1">
      <c r="G262" s="5"/>
      <c r="H262" s="5"/>
      <c r="I262" s="5"/>
      <c r="K262" s="6"/>
    </row>
    <row r="263" ht="15.75" customHeight="1">
      <c r="G263" s="5"/>
      <c r="H263" s="5"/>
      <c r="I263" s="5"/>
      <c r="K263" s="6"/>
    </row>
    <row r="264" ht="15.75" customHeight="1">
      <c r="G264" s="5"/>
      <c r="H264" s="5"/>
      <c r="I264" s="5"/>
      <c r="K264" s="6"/>
    </row>
    <row r="265" ht="15.75" customHeight="1">
      <c r="G265" s="5"/>
      <c r="H265" s="5"/>
      <c r="I265" s="5"/>
      <c r="K265" s="6"/>
    </row>
    <row r="266" ht="15.75" customHeight="1">
      <c r="G266" s="5"/>
      <c r="H266" s="5"/>
      <c r="I266" s="5"/>
      <c r="K266" s="6"/>
    </row>
    <row r="267" ht="15.75" customHeight="1">
      <c r="G267" s="5"/>
      <c r="H267" s="5"/>
      <c r="I267" s="5"/>
      <c r="K267" s="6"/>
    </row>
    <row r="268" ht="15.75" customHeight="1">
      <c r="G268" s="5"/>
      <c r="H268" s="5"/>
      <c r="I268" s="5"/>
      <c r="K268" s="6"/>
    </row>
    <row r="269" ht="15.75" customHeight="1">
      <c r="G269" s="5"/>
      <c r="H269" s="5"/>
      <c r="I269" s="5"/>
      <c r="K269" s="6"/>
    </row>
    <row r="270" ht="15.75" customHeight="1">
      <c r="G270" s="5"/>
      <c r="H270" s="5"/>
      <c r="I270" s="5"/>
      <c r="K270" s="6"/>
    </row>
    <row r="271" ht="15.75" customHeight="1">
      <c r="G271" s="5"/>
      <c r="H271" s="5"/>
      <c r="I271" s="5"/>
      <c r="K271" s="6"/>
    </row>
    <row r="272" ht="15.75" customHeight="1">
      <c r="G272" s="5"/>
      <c r="H272" s="5"/>
      <c r="I272" s="5"/>
      <c r="K272" s="6"/>
    </row>
    <row r="273" ht="15.75" customHeight="1">
      <c r="G273" s="5"/>
      <c r="H273" s="5"/>
      <c r="I273" s="5"/>
      <c r="K273" s="6"/>
    </row>
    <row r="274" ht="15.75" customHeight="1">
      <c r="G274" s="5"/>
      <c r="H274" s="5"/>
      <c r="I274" s="5"/>
      <c r="K274" s="6"/>
    </row>
    <row r="275" ht="15.75" customHeight="1">
      <c r="G275" s="5"/>
      <c r="H275" s="5"/>
      <c r="I275" s="5"/>
      <c r="K275" s="6"/>
    </row>
    <row r="276" ht="15.75" customHeight="1">
      <c r="G276" s="5"/>
      <c r="H276" s="5"/>
      <c r="I276" s="5"/>
      <c r="K276" s="6"/>
    </row>
    <row r="277" ht="15.75" customHeight="1">
      <c r="G277" s="5"/>
      <c r="H277" s="5"/>
      <c r="I277" s="5"/>
      <c r="K277" s="6"/>
    </row>
    <row r="278" ht="15.75" customHeight="1">
      <c r="G278" s="5"/>
      <c r="H278" s="5"/>
      <c r="I278" s="5"/>
      <c r="K278" s="6"/>
    </row>
    <row r="279" ht="15.75" customHeight="1">
      <c r="G279" s="5"/>
      <c r="H279" s="5"/>
      <c r="I279" s="5"/>
      <c r="K279" s="6"/>
    </row>
    <row r="280" ht="15.75" customHeight="1">
      <c r="G280" s="5"/>
      <c r="H280" s="5"/>
      <c r="I280" s="5"/>
      <c r="K280" s="6"/>
    </row>
    <row r="281" ht="15.75" customHeight="1">
      <c r="G281" s="5"/>
      <c r="H281" s="5"/>
      <c r="I281" s="5"/>
      <c r="K281" s="6"/>
    </row>
    <row r="282" ht="15.75" customHeight="1">
      <c r="G282" s="5"/>
      <c r="H282" s="5"/>
      <c r="I282" s="5"/>
      <c r="K282" s="6"/>
    </row>
    <row r="283" ht="15.75" customHeight="1">
      <c r="G283" s="5"/>
      <c r="H283" s="5"/>
      <c r="I283" s="5"/>
      <c r="K283" s="6"/>
    </row>
    <row r="284" ht="15.75" customHeight="1">
      <c r="G284" s="5"/>
      <c r="H284" s="5"/>
      <c r="I284" s="5"/>
      <c r="K284" s="6"/>
    </row>
    <row r="285" ht="15.75" customHeight="1">
      <c r="G285" s="5"/>
      <c r="H285" s="5"/>
      <c r="I285" s="5"/>
      <c r="K285" s="6"/>
    </row>
    <row r="286" ht="15.75" customHeight="1">
      <c r="G286" s="5"/>
      <c r="H286" s="5"/>
      <c r="I286" s="5"/>
      <c r="K286" s="6"/>
    </row>
    <row r="287" ht="15.75" customHeight="1">
      <c r="G287" s="5"/>
      <c r="H287" s="5"/>
      <c r="I287" s="5"/>
      <c r="K287" s="6"/>
    </row>
    <row r="288" ht="15.75" customHeight="1">
      <c r="G288" s="5"/>
      <c r="H288" s="5"/>
      <c r="I288" s="5"/>
      <c r="K288" s="6"/>
    </row>
    <row r="289" ht="15.75" customHeight="1">
      <c r="G289" s="5"/>
      <c r="H289" s="5"/>
      <c r="I289" s="5"/>
      <c r="K289" s="6"/>
    </row>
    <row r="290" ht="15.75" customHeight="1">
      <c r="G290" s="5"/>
      <c r="H290" s="5"/>
      <c r="I290" s="5"/>
      <c r="K290" s="6"/>
    </row>
    <row r="291" ht="15.75" customHeight="1">
      <c r="G291" s="5"/>
      <c r="H291" s="5"/>
      <c r="I291" s="5"/>
      <c r="K291" s="6"/>
    </row>
    <row r="292" ht="15.75" customHeight="1">
      <c r="G292" s="5"/>
      <c r="H292" s="5"/>
      <c r="I292" s="5"/>
      <c r="K292" s="6"/>
    </row>
    <row r="293" ht="15.75" customHeight="1">
      <c r="G293" s="5"/>
      <c r="H293" s="5"/>
      <c r="I293" s="5"/>
      <c r="K293" s="6"/>
    </row>
    <row r="294" ht="15.75" customHeight="1">
      <c r="G294" s="5"/>
      <c r="H294" s="5"/>
      <c r="I294" s="5"/>
      <c r="K294" s="6"/>
    </row>
    <row r="295" ht="15.75" customHeight="1">
      <c r="G295" s="5"/>
      <c r="H295" s="5"/>
      <c r="I295" s="5"/>
      <c r="K295" s="6"/>
    </row>
    <row r="296" ht="15.75" customHeight="1">
      <c r="G296" s="5"/>
      <c r="H296" s="5"/>
      <c r="I296" s="5"/>
      <c r="K296" s="6"/>
    </row>
    <row r="297" ht="15.75" customHeight="1">
      <c r="G297" s="5"/>
      <c r="H297" s="5"/>
      <c r="I297" s="5"/>
      <c r="K297" s="6"/>
    </row>
    <row r="298" ht="15.75" customHeight="1">
      <c r="G298" s="5"/>
      <c r="H298" s="5"/>
      <c r="I298" s="5"/>
      <c r="K298" s="6"/>
    </row>
    <row r="299" ht="15.75" customHeight="1">
      <c r="G299" s="5"/>
      <c r="H299" s="5"/>
      <c r="I299" s="5"/>
      <c r="K299" s="6"/>
    </row>
    <row r="300" ht="15.75" customHeight="1">
      <c r="G300" s="5"/>
      <c r="H300" s="5"/>
      <c r="I300" s="5"/>
      <c r="K300" s="6"/>
    </row>
    <row r="301" ht="15.75" customHeight="1">
      <c r="G301" s="5"/>
      <c r="H301" s="5"/>
      <c r="I301" s="5"/>
      <c r="K301" s="6"/>
    </row>
    <row r="302" ht="15.75" customHeight="1">
      <c r="G302" s="5"/>
      <c r="H302" s="5"/>
      <c r="I302" s="5"/>
      <c r="K302" s="6"/>
    </row>
    <row r="303" ht="15.75" customHeight="1">
      <c r="G303" s="5"/>
      <c r="H303" s="5"/>
      <c r="I303" s="5"/>
      <c r="K303" s="6"/>
    </row>
    <row r="304" ht="15.75" customHeight="1">
      <c r="G304" s="5"/>
      <c r="H304" s="5"/>
      <c r="I304" s="5"/>
      <c r="K304" s="6"/>
    </row>
    <row r="305" ht="15.75" customHeight="1">
      <c r="G305" s="5"/>
      <c r="H305" s="5"/>
      <c r="I305" s="5"/>
      <c r="K305" s="6"/>
    </row>
    <row r="306" ht="15.75" customHeight="1">
      <c r="G306" s="5"/>
      <c r="H306" s="5"/>
      <c r="I306" s="5"/>
      <c r="K306" s="6"/>
    </row>
    <row r="307" ht="15.75" customHeight="1">
      <c r="G307" s="5"/>
      <c r="H307" s="5"/>
      <c r="I307" s="5"/>
      <c r="K307" s="6"/>
    </row>
    <row r="308" ht="15.75" customHeight="1">
      <c r="G308" s="5"/>
      <c r="H308" s="5"/>
      <c r="I308" s="5"/>
      <c r="K308" s="6"/>
    </row>
    <row r="309" ht="15.75" customHeight="1">
      <c r="G309" s="5"/>
      <c r="H309" s="5"/>
      <c r="I309" s="5"/>
      <c r="K309" s="6"/>
    </row>
    <row r="310" ht="15.75" customHeight="1">
      <c r="G310" s="5"/>
      <c r="H310" s="5"/>
      <c r="I310" s="5"/>
      <c r="K310" s="6"/>
    </row>
    <row r="311" ht="15.75" customHeight="1">
      <c r="G311" s="5"/>
      <c r="H311" s="5"/>
      <c r="I311" s="5"/>
      <c r="K311" s="6"/>
    </row>
    <row r="312" ht="15.75" customHeight="1">
      <c r="G312" s="5"/>
      <c r="H312" s="5"/>
      <c r="I312" s="5"/>
      <c r="K312" s="6"/>
    </row>
    <row r="313" ht="15.75" customHeight="1">
      <c r="G313" s="5"/>
      <c r="H313" s="5"/>
      <c r="I313" s="5"/>
      <c r="K313" s="6"/>
    </row>
    <row r="314" ht="15.75" customHeight="1">
      <c r="G314" s="5"/>
      <c r="H314" s="5"/>
      <c r="I314" s="5"/>
      <c r="K314" s="6"/>
    </row>
    <row r="315" ht="15.75" customHeight="1">
      <c r="G315" s="5"/>
      <c r="H315" s="5"/>
      <c r="I315" s="5"/>
      <c r="K315" s="6"/>
    </row>
    <row r="316" ht="15.75" customHeight="1">
      <c r="G316" s="5"/>
      <c r="H316" s="5"/>
      <c r="I316" s="5"/>
      <c r="K316" s="6"/>
    </row>
    <row r="317" ht="15.75" customHeight="1">
      <c r="G317" s="5"/>
      <c r="H317" s="5"/>
      <c r="I317" s="5"/>
      <c r="K317" s="6"/>
    </row>
    <row r="318" ht="15.75" customHeight="1">
      <c r="G318" s="5"/>
      <c r="H318" s="5"/>
      <c r="I318" s="5"/>
      <c r="K318" s="6"/>
    </row>
    <row r="319" ht="15.75" customHeight="1">
      <c r="G319" s="5"/>
      <c r="H319" s="5"/>
      <c r="I319" s="5"/>
      <c r="K319" s="6"/>
    </row>
    <row r="320" ht="15.75" customHeight="1">
      <c r="G320" s="5"/>
      <c r="H320" s="5"/>
      <c r="I320" s="5"/>
      <c r="K320" s="6"/>
    </row>
    <row r="321" ht="15.75" customHeight="1">
      <c r="G321" s="5"/>
      <c r="H321" s="5"/>
      <c r="I321" s="5"/>
      <c r="K321" s="6"/>
    </row>
    <row r="322" ht="15.75" customHeight="1">
      <c r="G322" s="5"/>
      <c r="H322" s="5"/>
      <c r="I322" s="5"/>
      <c r="K322" s="6"/>
    </row>
    <row r="323" ht="15.75" customHeight="1">
      <c r="G323" s="5"/>
      <c r="H323" s="5"/>
      <c r="I323" s="5"/>
      <c r="K323" s="6"/>
    </row>
    <row r="324" ht="15.75" customHeight="1">
      <c r="G324" s="5"/>
      <c r="H324" s="5"/>
      <c r="I324" s="5"/>
      <c r="K324" s="6"/>
    </row>
    <row r="325" ht="15.75" customHeight="1">
      <c r="G325" s="5"/>
      <c r="H325" s="5"/>
      <c r="I325" s="5"/>
      <c r="K325" s="6"/>
    </row>
    <row r="326" ht="15.75" customHeight="1">
      <c r="G326" s="5"/>
      <c r="H326" s="5"/>
      <c r="I326" s="5"/>
      <c r="K326" s="6"/>
    </row>
    <row r="327" ht="15.75" customHeight="1">
      <c r="G327" s="5"/>
      <c r="H327" s="5"/>
      <c r="I327" s="5"/>
      <c r="K327" s="6"/>
    </row>
    <row r="328" ht="15.75" customHeight="1">
      <c r="G328" s="5"/>
      <c r="H328" s="5"/>
      <c r="I328" s="5"/>
      <c r="K328" s="6"/>
    </row>
    <row r="329" ht="15.75" customHeight="1">
      <c r="G329" s="5"/>
      <c r="H329" s="5"/>
      <c r="I329" s="5"/>
      <c r="K329" s="6"/>
    </row>
    <row r="330" ht="15.75" customHeight="1">
      <c r="G330" s="5"/>
      <c r="H330" s="5"/>
      <c r="I330" s="5"/>
      <c r="K330" s="6"/>
    </row>
    <row r="331" ht="15.75" customHeight="1">
      <c r="G331" s="5"/>
      <c r="H331" s="5"/>
      <c r="I331" s="5"/>
      <c r="K331" s="6"/>
    </row>
    <row r="332" ht="15.75" customHeight="1">
      <c r="G332" s="5"/>
      <c r="H332" s="5"/>
      <c r="I332" s="5"/>
      <c r="K332" s="6"/>
    </row>
    <row r="333" ht="15.75" customHeight="1">
      <c r="G333" s="5"/>
      <c r="H333" s="5"/>
      <c r="I333" s="5"/>
      <c r="K333" s="6"/>
    </row>
    <row r="334" ht="15.75" customHeight="1">
      <c r="G334" s="5"/>
      <c r="H334" s="5"/>
      <c r="I334" s="5"/>
      <c r="K334" s="6"/>
    </row>
    <row r="335" ht="15.75" customHeight="1">
      <c r="G335" s="5"/>
      <c r="H335" s="5"/>
      <c r="I335" s="5"/>
      <c r="K335" s="6"/>
    </row>
    <row r="336" ht="15.75" customHeight="1">
      <c r="G336" s="5"/>
      <c r="H336" s="5"/>
      <c r="I336" s="5"/>
      <c r="K336" s="6"/>
    </row>
    <row r="337" ht="15.75" customHeight="1">
      <c r="G337" s="5"/>
      <c r="H337" s="5"/>
      <c r="I337" s="5"/>
      <c r="K337" s="6"/>
    </row>
    <row r="338" ht="15.75" customHeight="1">
      <c r="G338" s="5"/>
      <c r="H338" s="5"/>
      <c r="I338" s="5"/>
      <c r="K338" s="6"/>
    </row>
    <row r="339" ht="15.75" customHeight="1">
      <c r="G339" s="5"/>
      <c r="H339" s="5"/>
      <c r="I339" s="5"/>
      <c r="K339" s="6"/>
    </row>
    <row r="340" ht="15.75" customHeight="1">
      <c r="G340" s="5"/>
      <c r="H340" s="5"/>
      <c r="I340" s="5"/>
      <c r="K340" s="6"/>
    </row>
    <row r="341" ht="15.75" customHeight="1">
      <c r="G341" s="5"/>
      <c r="H341" s="5"/>
      <c r="I341" s="5"/>
      <c r="K341" s="6"/>
    </row>
    <row r="342" ht="15.75" customHeight="1">
      <c r="G342" s="5"/>
      <c r="H342" s="5"/>
      <c r="I342" s="5"/>
      <c r="K342" s="6"/>
    </row>
    <row r="343" ht="15.75" customHeight="1">
      <c r="G343" s="5"/>
      <c r="H343" s="5"/>
      <c r="I343" s="5"/>
      <c r="K343" s="6"/>
    </row>
    <row r="344" ht="15.75" customHeight="1">
      <c r="G344" s="5"/>
      <c r="H344" s="5"/>
      <c r="I344" s="5"/>
      <c r="K344" s="6"/>
    </row>
    <row r="345" ht="15.75" customHeight="1">
      <c r="G345" s="5"/>
      <c r="H345" s="5"/>
      <c r="I345" s="5"/>
      <c r="K345" s="6"/>
    </row>
    <row r="346" ht="15.75" customHeight="1">
      <c r="G346" s="5"/>
      <c r="H346" s="5"/>
      <c r="I346" s="5"/>
      <c r="K346" s="6"/>
    </row>
    <row r="347" ht="15.75" customHeight="1">
      <c r="G347" s="5"/>
      <c r="H347" s="5"/>
      <c r="I347" s="5"/>
      <c r="K347" s="6"/>
    </row>
    <row r="348" ht="15.75" customHeight="1">
      <c r="G348" s="5"/>
      <c r="H348" s="5"/>
      <c r="I348" s="5"/>
      <c r="K348" s="6"/>
    </row>
    <row r="349" ht="15.75" customHeight="1">
      <c r="G349" s="5"/>
      <c r="H349" s="5"/>
      <c r="I349" s="5"/>
      <c r="K349" s="6"/>
    </row>
    <row r="350" ht="15.75" customHeight="1">
      <c r="G350" s="5"/>
      <c r="H350" s="5"/>
      <c r="I350" s="5"/>
      <c r="K350" s="6"/>
    </row>
    <row r="351" ht="15.75" customHeight="1">
      <c r="G351" s="5"/>
      <c r="H351" s="5"/>
      <c r="I351" s="5"/>
      <c r="K351" s="6"/>
    </row>
    <row r="352" ht="15.75" customHeight="1">
      <c r="G352" s="5"/>
      <c r="H352" s="5"/>
      <c r="I352" s="5"/>
      <c r="K352" s="6"/>
    </row>
    <row r="353" ht="15.75" customHeight="1">
      <c r="G353" s="5"/>
      <c r="H353" s="5"/>
      <c r="I353" s="5"/>
      <c r="K353" s="6"/>
    </row>
    <row r="354" ht="15.75" customHeight="1">
      <c r="G354" s="5"/>
      <c r="H354" s="5"/>
      <c r="I354" s="5"/>
      <c r="K354" s="6"/>
    </row>
    <row r="355" ht="15.75" customHeight="1">
      <c r="G355" s="5"/>
      <c r="H355" s="5"/>
      <c r="I355" s="5"/>
      <c r="K355" s="6"/>
    </row>
    <row r="356" ht="15.75" customHeight="1">
      <c r="G356" s="5"/>
      <c r="H356" s="5"/>
      <c r="I356" s="5"/>
      <c r="K356" s="6"/>
    </row>
    <row r="357" ht="15.75" customHeight="1">
      <c r="G357" s="5"/>
      <c r="H357" s="5"/>
      <c r="I357" s="5"/>
      <c r="K357" s="6"/>
    </row>
    <row r="358" ht="15.75" customHeight="1">
      <c r="G358" s="5"/>
      <c r="H358" s="5"/>
      <c r="I358" s="5"/>
      <c r="K358" s="6"/>
    </row>
    <row r="359" ht="15.75" customHeight="1">
      <c r="G359" s="5"/>
      <c r="H359" s="5"/>
      <c r="I359" s="5"/>
      <c r="K359" s="6"/>
    </row>
    <row r="360" ht="15.75" customHeight="1">
      <c r="G360" s="5"/>
      <c r="H360" s="5"/>
      <c r="I360" s="5"/>
      <c r="K360" s="6"/>
    </row>
    <row r="361" ht="15.75" customHeight="1">
      <c r="G361" s="5"/>
      <c r="H361" s="5"/>
      <c r="I361" s="5"/>
      <c r="K361" s="6"/>
    </row>
    <row r="362" ht="15.75" customHeight="1">
      <c r="G362" s="5"/>
      <c r="H362" s="5"/>
      <c r="I362" s="5"/>
      <c r="K362" s="6"/>
    </row>
    <row r="363" ht="15.75" customHeight="1">
      <c r="G363" s="5"/>
      <c r="H363" s="5"/>
      <c r="I363" s="5"/>
      <c r="K363" s="6"/>
    </row>
    <row r="364" ht="15.75" customHeight="1">
      <c r="G364" s="5"/>
      <c r="H364" s="5"/>
      <c r="I364" s="5"/>
      <c r="K364" s="6"/>
    </row>
    <row r="365" ht="15.75" customHeight="1">
      <c r="G365" s="5"/>
      <c r="H365" s="5"/>
      <c r="I365" s="5"/>
      <c r="K365" s="6"/>
    </row>
    <row r="366" ht="15.75" customHeight="1">
      <c r="G366" s="5"/>
      <c r="H366" s="5"/>
      <c r="I366" s="5"/>
      <c r="K366" s="6"/>
    </row>
    <row r="367" ht="15.75" customHeight="1">
      <c r="G367" s="5"/>
      <c r="H367" s="5"/>
      <c r="I367" s="5"/>
      <c r="K367" s="6"/>
    </row>
    <row r="368" ht="15.75" customHeight="1">
      <c r="G368" s="5"/>
      <c r="H368" s="5"/>
      <c r="I368" s="5"/>
      <c r="K368" s="6"/>
    </row>
    <row r="369" ht="15.75" customHeight="1">
      <c r="G369" s="5"/>
      <c r="H369" s="5"/>
      <c r="I369" s="5"/>
      <c r="K369" s="6"/>
    </row>
    <row r="370" ht="15.75" customHeight="1">
      <c r="G370" s="5"/>
      <c r="H370" s="5"/>
      <c r="I370" s="5"/>
      <c r="K370" s="6"/>
    </row>
    <row r="371" ht="15.75" customHeight="1">
      <c r="G371" s="5"/>
      <c r="H371" s="5"/>
      <c r="I371" s="5"/>
      <c r="K371" s="6"/>
    </row>
    <row r="372" ht="15.75" customHeight="1">
      <c r="G372" s="5"/>
      <c r="H372" s="5"/>
      <c r="I372" s="5"/>
      <c r="K372" s="6"/>
    </row>
    <row r="373" ht="15.75" customHeight="1">
      <c r="G373" s="5"/>
      <c r="H373" s="5"/>
      <c r="I373" s="5"/>
      <c r="K373" s="6"/>
    </row>
    <row r="374" ht="15.75" customHeight="1">
      <c r="G374" s="5"/>
      <c r="H374" s="5"/>
      <c r="I374" s="5"/>
      <c r="K374" s="6"/>
    </row>
    <row r="375" ht="15.75" customHeight="1">
      <c r="G375" s="5"/>
      <c r="H375" s="5"/>
      <c r="I375" s="5"/>
      <c r="K375" s="6"/>
    </row>
    <row r="376" ht="15.75" customHeight="1">
      <c r="G376" s="5"/>
      <c r="H376" s="5"/>
      <c r="I376" s="5"/>
      <c r="K376" s="6"/>
    </row>
    <row r="377" ht="15.75" customHeight="1">
      <c r="G377" s="5"/>
      <c r="H377" s="5"/>
      <c r="I377" s="5"/>
      <c r="K377" s="6"/>
    </row>
    <row r="378" ht="15.75" customHeight="1">
      <c r="G378" s="5"/>
      <c r="H378" s="5"/>
      <c r="I378" s="5"/>
      <c r="K378" s="6"/>
    </row>
    <row r="379" ht="15.75" customHeight="1">
      <c r="G379" s="5"/>
      <c r="H379" s="5"/>
      <c r="I379" s="5"/>
      <c r="K379" s="6"/>
    </row>
    <row r="380" ht="15.75" customHeight="1">
      <c r="G380" s="5"/>
      <c r="H380" s="5"/>
      <c r="I380" s="5"/>
      <c r="K380" s="6"/>
    </row>
    <row r="381" ht="15.75" customHeight="1">
      <c r="G381" s="5"/>
      <c r="H381" s="5"/>
      <c r="I381" s="5"/>
      <c r="K381" s="6"/>
    </row>
    <row r="382" ht="15.75" customHeight="1">
      <c r="G382" s="5"/>
      <c r="H382" s="5"/>
      <c r="I382" s="5"/>
      <c r="K382" s="6"/>
    </row>
    <row r="383" ht="15.75" customHeight="1">
      <c r="G383" s="5"/>
      <c r="H383" s="5"/>
      <c r="I383" s="5"/>
      <c r="K383" s="6"/>
    </row>
    <row r="384" ht="15.75" customHeight="1">
      <c r="G384" s="5"/>
      <c r="H384" s="5"/>
      <c r="I384" s="5"/>
      <c r="K384" s="6"/>
    </row>
    <row r="385" ht="15.75" customHeight="1">
      <c r="G385" s="5"/>
      <c r="H385" s="5"/>
      <c r="I385" s="5"/>
      <c r="K385" s="6"/>
    </row>
    <row r="386" ht="15.75" customHeight="1">
      <c r="G386" s="5"/>
      <c r="H386" s="5"/>
      <c r="I386" s="5"/>
      <c r="K386" s="6"/>
    </row>
    <row r="387" ht="15.75" customHeight="1">
      <c r="G387" s="5"/>
      <c r="H387" s="5"/>
      <c r="I387" s="5"/>
      <c r="K387" s="6"/>
    </row>
    <row r="388" ht="15.75" customHeight="1">
      <c r="G388" s="5"/>
      <c r="H388" s="5"/>
      <c r="I388" s="5"/>
      <c r="K388" s="6"/>
    </row>
    <row r="389" ht="15.75" customHeight="1">
      <c r="G389" s="5"/>
      <c r="H389" s="5"/>
      <c r="I389" s="5"/>
      <c r="K389" s="6"/>
    </row>
    <row r="390" ht="15.75" customHeight="1">
      <c r="G390" s="5"/>
      <c r="H390" s="5"/>
      <c r="I390" s="5"/>
      <c r="K390" s="6"/>
    </row>
    <row r="391" ht="15.75" customHeight="1">
      <c r="G391" s="5"/>
      <c r="H391" s="5"/>
      <c r="I391" s="5"/>
      <c r="K391" s="6"/>
    </row>
    <row r="392" ht="15.75" customHeight="1">
      <c r="G392" s="5"/>
      <c r="H392" s="5"/>
      <c r="I392" s="5"/>
      <c r="K392" s="6"/>
    </row>
    <row r="393" ht="15.75" customHeight="1">
      <c r="G393" s="5"/>
      <c r="H393" s="5"/>
      <c r="I393" s="5"/>
      <c r="K393" s="6"/>
    </row>
    <row r="394" ht="15.75" customHeight="1">
      <c r="G394" s="5"/>
      <c r="H394" s="5"/>
      <c r="I394" s="5"/>
      <c r="K394" s="6"/>
    </row>
    <row r="395" ht="15.75" customHeight="1">
      <c r="G395" s="5"/>
      <c r="H395" s="5"/>
      <c r="I395" s="5"/>
      <c r="K395" s="6"/>
    </row>
    <row r="396" ht="15.75" customHeight="1">
      <c r="G396" s="5"/>
      <c r="H396" s="5"/>
      <c r="I396" s="5"/>
      <c r="K396" s="6"/>
    </row>
    <row r="397" ht="15.75" customHeight="1">
      <c r="G397" s="5"/>
      <c r="H397" s="5"/>
      <c r="I397" s="5"/>
      <c r="K397" s="6"/>
    </row>
    <row r="398" ht="15.75" customHeight="1">
      <c r="G398" s="5"/>
      <c r="H398" s="5"/>
      <c r="I398" s="5"/>
      <c r="K398" s="6"/>
    </row>
    <row r="399" ht="15.75" customHeight="1">
      <c r="G399" s="5"/>
      <c r="H399" s="5"/>
      <c r="I399" s="5"/>
      <c r="K399" s="6"/>
    </row>
    <row r="400" ht="15.75" customHeight="1">
      <c r="G400" s="5"/>
      <c r="H400" s="5"/>
      <c r="I400" s="5"/>
      <c r="K400" s="6"/>
    </row>
    <row r="401" ht="15.75" customHeight="1">
      <c r="G401" s="5"/>
      <c r="H401" s="5"/>
      <c r="I401" s="5"/>
      <c r="K401" s="6"/>
    </row>
    <row r="402" ht="15.75" customHeight="1">
      <c r="G402" s="5"/>
      <c r="H402" s="5"/>
      <c r="I402" s="5"/>
      <c r="K402" s="6"/>
    </row>
    <row r="403" ht="15.75" customHeight="1">
      <c r="G403" s="5"/>
      <c r="H403" s="5"/>
      <c r="I403" s="5"/>
      <c r="K403" s="6"/>
    </row>
    <row r="404" ht="15.75" customHeight="1">
      <c r="G404" s="5"/>
      <c r="H404" s="5"/>
      <c r="I404" s="5"/>
      <c r="K404" s="6"/>
    </row>
    <row r="405" ht="15.75" customHeight="1">
      <c r="G405" s="5"/>
      <c r="H405" s="5"/>
      <c r="I405" s="5"/>
      <c r="K405" s="6"/>
    </row>
    <row r="406" ht="15.75" customHeight="1">
      <c r="G406" s="5"/>
      <c r="H406" s="5"/>
      <c r="I406" s="5"/>
      <c r="K406" s="6"/>
    </row>
    <row r="407" ht="15.75" customHeight="1">
      <c r="G407" s="5"/>
      <c r="H407" s="5"/>
      <c r="I407" s="5"/>
      <c r="K407" s="6"/>
    </row>
    <row r="408" ht="15.75" customHeight="1">
      <c r="G408" s="5"/>
      <c r="H408" s="5"/>
      <c r="I408" s="5"/>
      <c r="K408" s="6"/>
    </row>
    <row r="409" ht="15.75" customHeight="1">
      <c r="G409" s="5"/>
      <c r="H409" s="5"/>
      <c r="I409" s="5"/>
      <c r="K409" s="6"/>
    </row>
    <row r="410" ht="15.75" customHeight="1">
      <c r="G410" s="5"/>
      <c r="H410" s="5"/>
      <c r="I410" s="5"/>
      <c r="K410" s="6"/>
    </row>
    <row r="411" ht="15.75" customHeight="1">
      <c r="G411" s="5"/>
      <c r="H411" s="5"/>
      <c r="I411" s="5"/>
      <c r="K411" s="6"/>
    </row>
    <row r="412" ht="15.75" customHeight="1">
      <c r="G412" s="5"/>
      <c r="H412" s="5"/>
      <c r="I412" s="5"/>
      <c r="K412" s="6"/>
    </row>
    <row r="413" ht="15.75" customHeight="1">
      <c r="G413" s="5"/>
      <c r="H413" s="5"/>
      <c r="I413" s="5"/>
      <c r="K413" s="6"/>
    </row>
    <row r="414" ht="15.75" customHeight="1">
      <c r="G414" s="5"/>
      <c r="H414" s="5"/>
      <c r="I414" s="5"/>
      <c r="K414" s="6"/>
    </row>
    <row r="415" ht="15.75" customHeight="1">
      <c r="G415" s="5"/>
      <c r="H415" s="5"/>
      <c r="I415" s="5"/>
      <c r="K415" s="6"/>
    </row>
    <row r="416" ht="15.75" customHeight="1">
      <c r="G416" s="5"/>
      <c r="H416" s="5"/>
      <c r="I416" s="5"/>
      <c r="K416" s="6"/>
    </row>
    <row r="417" ht="15.75" customHeight="1">
      <c r="G417" s="5"/>
      <c r="H417" s="5"/>
      <c r="I417" s="5"/>
      <c r="K417" s="6"/>
    </row>
    <row r="418" ht="15.75" customHeight="1">
      <c r="G418" s="5"/>
      <c r="H418" s="5"/>
      <c r="I418" s="5"/>
      <c r="K418" s="6"/>
    </row>
    <row r="419" ht="15.75" customHeight="1">
      <c r="G419" s="5"/>
      <c r="H419" s="5"/>
      <c r="I419" s="5"/>
      <c r="K419" s="6"/>
    </row>
    <row r="420" ht="15.75" customHeight="1">
      <c r="G420" s="5"/>
      <c r="H420" s="5"/>
      <c r="I420" s="5"/>
      <c r="K420" s="6"/>
    </row>
    <row r="421" ht="15.75" customHeight="1">
      <c r="G421" s="5"/>
      <c r="H421" s="5"/>
      <c r="I421" s="5"/>
      <c r="K421" s="6"/>
    </row>
    <row r="422" ht="15.75" customHeight="1">
      <c r="G422" s="5"/>
      <c r="H422" s="5"/>
      <c r="I422" s="5"/>
      <c r="K422" s="6"/>
    </row>
    <row r="423" ht="15.75" customHeight="1">
      <c r="G423" s="5"/>
      <c r="H423" s="5"/>
      <c r="I423" s="5"/>
      <c r="K423" s="6"/>
    </row>
    <row r="424" ht="15.75" customHeight="1">
      <c r="G424" s="5"/>
      <c r="H424" s="5"/>
      <c r="I424" s="5"/>
      <c r="K424" s="6"/>
    </row>
    <row r="425" ht="15.75" customHeight="1">
      <c r="G425" s="5"/>
      <c r="H425" s="5"/>
      <c r="I425" s="5"/>
      <c r="K425" s="6"/>
    </row>
    <row r="426" ht="15.75" customHeight="1">
      <c r="G426" s="5"/>
      <c r="H426" s="5"/>
      <c r="I426" s="5"/>
      <c r="K426" s="6"/>
    </row>
    <row r="427" ht="15.75" customHeight="1">
      <c r="G427" s="5"/>
      <c r="H427" s="5"/>
      <c r="I427" s="5"/>
      <c r="K427" s="6"/>
    </row>
    <row r="428" ht="15.75" customHeight="1">
      <c r="G428" s="5"/>
      <c r="H428" s="5"/>
      <c r="I428" s="5"/>
      <c r="K428" s="6"/>
    </row>
    <row r="429" ht="15.75" customHeight="1">
      <c r="G429" s="5"/>
      <c r="H429" s="5"/>
      <c r="I429" s="5"/>
      <c r="K429" s="6"/>
    </row>
    <row r="430" ht="15.75" customHeight="1">
      <c r="G430" s="5"/>
      <c r="H430" s="5"/>
      <c r="I430" s="5"/>
      <c r="K430" s="6"/>
    </row>
    <row r="431" ht="15.75" customHeight="1">
      <c r="G431" s="5"/>
      <c r="H431" s="5"/>
      <c r="I431" s="5"/>
      <c r="K431" s="6"/>
    </row>
    <row r="432" ht="15.75" customHeight="1">
      <c r="G432" s="5"/>
      <c r="H432" s="5"/>
      <c r="I432" s="5"/>
      <c r="K432" s="6"/>
    </row>
    <row r="433" ht="15.75" customHeight="1">
      <c r="G433" s="5"/>
      <c r="H433" s="5"/>
      <c r="I433" s="5"/>
      <c r="K433" s="6"/>
    </row>
    <row r="434" ht="15.75" customHeight="1">
      <c r="G434" s="5"/>
      <c r="H434" s="5"/>
      <c r="I434" s="5"/>
      <c r="K434" s="6"/>
    </row>
    <row r="435" ht="15.75" customHeight="1">
      <c r="G435" s="5"/>
      <c r="H435" s="5"/>
      <c r="I435" s="5"/>
      <c r="K435" s="6"/>
    </row>
    <row r="436" ht="15.75" customHeight="1">
      <c r="G436" s="5"/>
      <c r="H436" s="5"/>
      <c r="I436" s="5"/>
      <c r="K436" s="6"/>
    </row>
    <row r="437" ht="15.75" customHeight="1">
      <c r="G437" s="5"/>
      <c r="H437" s="5"/>
      <c r="I437" s="5"/>
      <c r="K437" s="6"/>
    </row>
    <row r="438" ht="15.75" customHeight="1">
      <c r="G438" s="5"/>
      <c r="H438" s="5"/>
      <c r="I438" s="5"/>
      <c r="K438" s="6"/>
    </row>
    <row r="439" ht="15.75" customHeight="1">
      <c r="G439" s="5"/>
      <c r="H439" s="5"/>
      <c r="I439" s="5"/>
      <c r="K439" s="6"/>
    </row>
    <row r="440" ht="15.75" customHeight="1">
      <c r="G440" s="5"/>
      <c r="H440" s="5"/>
      <c r="I440" s="5"/>
      <c r="K440" s="6"/>
    </row>
    <row r="441" ht="15.75" customHeight="1">
      <c r="G441" s="5"/>
      <c r="H441" s="5"/>
      <c r="I441" s="5"/>
      <c r="K441" s="6"/>
    </row>
    <row r="442" ht="15.75" customHeight="1">
      <c r="G442" s="5"/>
      <c r="H442" s="5"/>
      <c r="I442" s="5"/>
      <c r="K442" s="6"/>
    </row>
    <row r="443" ht="15.75" customHeight="1">
      <c r="G443" s="5"/>
      <c r="H443" s="5"/>
      <c r="I443" s="5"/>
      <c r="K443" s="6"/>
    </row>
    <row r="444" ht="15.75" customHeight="1">
      <c r="G444" s="5"/>
      <c r="H444" s="5"/>
      <c r="I444" s="5"/>
      <c r="K444" s="6"/>
    </row>
    <row r="445" ht="15.75" customHeight="1">
      <c r="G445" s="5"/>
      <c r="H445" s="5"/>
      <c r="I445" s="5"/>
      <c r="K445" s="6"/>
    </row>
    <row r="446" ht="15.75" customHeight="1">
      <c r="G446" s="5"/>
      <c r="H446" s="5"/>
      <c r="I446" s="5"/>
      <c r="K446" s="6"/>
    </row>
    <row r="447" ht="15.75" customHeight="1">
      <c r="G447" s="5"/>
      <c r="H447" s="5"/>
      <c r="I447" s="5"/>
      <c r="K447" s="6"/>
    </row>
    <row r="448" ht="15.75" customHeight="1">
      <c r="G448" s="5"/>
      <c r="H448" s="5"/>
      <c r="I448" s="5"/>
      <c r="K448" s="6"/>
    </row>
    <row r="449" ht="15.75" customHeight="1">
      <c r="G449" s="5"/>
      <c r="H449" s="5"/>
      <c r="I449" s="5"/>
      <c r="K449" s="6"/>
    </row>
    <row r="450" ht="15.75" customHeight="1">
      <c r="G450" s="5"/>
      <c r="H450" s="5"/>
      <c r="I450" s="5"/>
      <c r="K450" s="6"/>
    </row>
    <row r="451" ht="15.75" customHeight="1">
      <c r="G451" s="5"/>
      <c r="H451" s="5"/>
      <c r="I451" s="5"/>
      <c r="K451" s="6"/>
    </row>
    <row r="452" ht="15.75" customHeight="1">
      <c r="G452" s="5"/>
      <c r="H452" s="5"/>
      <c r="I452" s="5"/>
      <c r="K452" s="6"/>
    </row>
    <row r="453" ht="15.75" customHeight="1">
      <c r="G453" s="5"/>
      <c r="H453" s="5"/>
      <c r="I453" s="5"/>
      <c r="K453" s="6"/>
    </row>
    <row r="454" ht="15.75" customHeight="1">
      <c r="G454" s="5"/>
      <c r="H454" s="5"/>
      <c r="I454" s="5"/>
      <c r="K454" s="6"/>
    </row>
    <row r="455" ht="15.75" customHeight="1">
      <c r="G455" s="5"/>
      <c r="H455" s="5"/>
      <c r="I455" s="5"/>
      <c r="K455" s="6"/>
    </row>
    <row r="456" ht="15.75" customHeight="1">
      <c r="G456" s="5"/>
      <c r="H456" s="5"/>
      <c r="I456" s="5"/>
      <c r="K456" s="6"/>
    </row>
    <row r="457" ht="15.75" customHeight="1">
      <c r="G457" s="5"/>
      <c r="H457" s="5"/>
      <c r="I457" s="5"/>
      <c r="K457" s="6"/>
    </row>
    <row r="458" ht="15.75" customHeight="1">
      <c r="G458" s="5"/>
      <c r="H458" s="5"/>
      <c r="I458" s="5"/>
      <c r="K458" s="6"/>
    </row>
    <row r="459" ht="15.75" customHeight="1">
      <c r="G459" s="5"/>
      <c r="H459" s="5"/>
      <c r="I459" s="5"/>
      <c r="K459" s="6"/>
    </row>
    <row r="460" ht="15.75" customHeight="1">
      <c r="G460" s="5"/>
      <c r="H460" s="5"/>
      <c r="I460" s="5"/>
      <c r="K460" s="6"/>
    </row>
    <row r="461" ht="15.75" customHeight="1">
      <c r="G461" s="5"/>
      <c r="H461" s="5"/>
      <c r="I461" s="5"/>
      <c r="K461" s="6"/>
    </row>
    <row r="462" ht="15.75" customHeight="1">
      <c r="G462" s="5"/>
      <c r="H462" s="5"/>
      <c r="I462" s="5"/>
      <c r="K462" s="6"/>
    </row>
    <row r="463" ht="15.75" customHeight="1">
      <c r="G463" s="5"/>
      <c r="H463" s="5"/>
      <c r="I463" s="5"/>
      <c r="K463" s="6"/>
    </row>
    <row r="464" ht="15.75" customHeight="1">
      <c r="G464" s="5"/>
      <c r="H464" s="5"/>
      <c r="I464" s="5"/>
      <c r="K464" s="6"/>
    </row>
    <row r="465" ht="15.75" customHeight="1">
      <c r="G465" s="5"/>
      <c r="H465" s="5"/>
      <c r="I465" s="5"/>
      <c r="K465" s="6"/>
    </row>
    <row r="466" ht="15.75" customHeight="1">
      <c r="G466" s="5"/>
      <c r="H466" s="5"/>
      <c r="I466" s="5"/>
      <c r="K466" s="6"/>
    </row>
    <row r="467" ht="15.75" customHeight="1">
      <c r="G467" s="5"/>
      <c r="H467" s="5"/>
      <c r="I467" s="5"/>
      <c r="K467" s="6"/>
    </row>
    <row r="468" ht="15.75" customHeight="1">
      <c r="G468" s="5"/>
      <c r="H468" s="5"/>
      <c r="I468" s="5"/>
      <c r="K468" s="6"/>
    </row>
    <row r="469" ht="15.75" customHeight="1">
      <c r="G469" s="5"/>
      <c r="H469" s="5"/>
      <c r="I469" s="5"/>
      <c r="K469" s="6"/>
    </row>
    <row r="470" ht="15.75" customHeight="1">
      <c r="G470" s="5"/>
      <c r="H470" s="5"/>
      <c r="I470" s="5"/>
      <c r="K470" s="6"/>
    </row>
    <row r="471" ht="15.75" customHeight="1">
      <c r="G471" s="5"/>
      <c r="H471" s="5"/>
      <c r="I471" s="5"/>
      <c r="K471" s="6"/>
    </row>
    <row r="472" ht="15.75" customHeight="1">
      <c r="G472" s="5"/>
      <c r="H472" s="5"/>
      <c r="I472" s="5"/>
      <c r="K472" s="6"/>
    </row>
    <row r="473" ht="15.75" customHeight="1">
      <c r="G473" s="5"/>
      <c r="H473" s="5"/>
      <c r="I473" s="5"/>
      <c r="K473" s="6"/>
    </row>
    <row r="474" ht="15.75" customHeight="1">
      <c r="G474" s="5"/>
      <c r="H474" s="5"/>
      <c r="I474" s="5"/>
      <c r="K474" s="6"/>
    </row>
    <row r="475" ht="15.75" customHeight="1">
      <c r="G475" s="5"/>
      <c r="H475" s="5"/>
      <c r="I475" s="5"/>
      <c r="K475" s="6"/>
    </row>
    <row r="476" ht="15.75" customHeight="1">
      <c r="G476" s="5"/>
      <c r="H476" s="5"/>
      <c r="I476" s="5"/>
      <c r="K476" s="6"/>
    </row>
    <row r="477" ht="15.75" customHeight="1">
      <c r="G477" s="5"/>
      <c r="H477" s="5"/>
      <c r="I477" s="5"/>
      <c r="K477" s="6"/>
    </row>
    <row r="478" ht="15.75" customHeight="1">
      <c r="G478" s="5"/>
      <c r="H478" s="5"/>
      <c r="I478" s="5"/>
      <c r="K478" s="6"/>
    </row>
    <row r="479" ht="15.75" customHeight="1">
      <c r="G479" s="5"/>
      <c r="H479" s="5"/>
      <c r="I479" s="5"/>
      <c r="K479" s="6"/>
    </row>
    <row r="480" ht="15.75" customHeight="1">
      <c r="G480" s="5"/>
      <c r="H480" s="5"/>
      <c r="I480" s="5"/>
      <c r="K480" s="6"/>
    </row>
    <row r="481" ht="15.75" customHeight="1">
      <c r="G481" s="5"/>
      <c r="H481" s="5"/>
      <c r="I481" s="5"/>
      <c r="K481" s="6"/>
    </row>
    <row r="482" ht="15.75" customHeight="1">
      <c r="G482" s="5"/>
      <c r="H482" s="5"/>
      <c r="I482" s="5"/>
      <c r="K482" s="6"/>
    </row>
    <row r="483" ht="15.75" customHeight="1">
      <c r="G483" s="5"/>
      <c r="H483" s="5"/>
      <c r="I483" s="5"/>
      <c r="K483" s="6"/>
    </row>
    <row r="484" ht="15.75" customHeight="1">
      <c r="G484" s="5"/>
      <c r="H484" s="5"/>
      <c r="I484" s="5"/>
      <c r="K484" s="6"/>
    </row>
    <row r="485" ht="15.75" customHeight="1">
      <c r="G485" s="5"/>
      <c r="H485" s="5"/>
      <c r="I485" s="5"/>
      <c r="K485" s="6"/>
    </row>
    <row r="486" ht="15.75" customHeight="1">
      <c r="G486" s="5"/>
      <c r="H486" s="5"/>
      <c r="I486" s="5"/>
      <c r="K486" s="6"/>
    </row>
    <row r="487" ht="15.75" customHeight="1">
      <c r="G487" s="5"/>
      <c r="H487" s="5"/>
      <c r="I487" s="5"/>
      <c r="K487" s="6"/>
    </row>
    <row r="488" ht="15.75" customHeight="1">
      <c r="G488" s="5"/>
      <c r="H488" s="5"/>
      <c r="I488" s="5"/>
      <c r="K488" s="6"/>
    </row>
    <row r="489" ht="15.75" customHeight="1">
      <c r="G489" s="5"/>
      <c r="H489" s="5"/>
      <c r="I489" s="5"/>
      <c r="K489" s="6"/>
    </row>
    <row r="490" ht="15.75" customHeight="1">
      <c r="G490" s="5"/>
      <c r="H490" s="5"/>
      <c r="I490" s="5"/>
      <c r="K490" s="6"/>
    </row>
    <row r="491" ht="15.75" customHeight="1">
      <c r="G491" s="5"/>
      <c r="H491" s="5"/>
      <c r="I491" s="5"/>
      <c r="K491" s="6"/>
    </row>
    <row r="492" ht="15.75" customHeight="1">
      <c r="G492" s="5"/>
      <c r="H492" s="5"/>
      <c r="I492" s="5"/>
      <c r="K492" s="6"/>
    </row>
    <row r="493" ht="15.75" customHeight="1">
      <c r="G493" s="5"/>
      <c r="H493" s="5"/>
      <c r="I493" s="5"/>
      <c r="K493" s="6"/>
    </row>
    <row r="494" ht="15.75" customHeight="1">
      <c r="G494" s="5"/>
      <c r="H494" s="5"/>
      <c r="I494" s="5"/>
      <c r="K494" s="6"/>
    </row>
    <row r="495" ht="15.75" customHeight="1">
      <c r="G495" s="5"/>
      <c r="H495" s="5"/>
      <c r="I495" s="5"/>
      <c r="K495" s="6"/>
    </row>
    <row r="496" ht="15.75" customHeight="1">
      <c r="G496" s="5"/>
      <c r="H496" s="5"/>
      <c r="I496" s="5"/>
      <c r="K496" s="6"/>
    </row>
    <row r="497" ht="15.75" customHeight="1">
      <c r="G497" s="5"/>
      <c r="H497" s="5"/>
      <c r="I497" s="5"/>
      <c r="K497" s="6"/>
    </row>
    <row r="498" ht="15.75" customHeight="1">
      <c r="G498" s="5"/>
      <c r="H498" s="5"/>
      <c r="I498" s="5"/>
      <c r="K498" s="6"/>
    </row>
    <row r="499" ht="15.75" customHeight="1">
      <c r="G499" s="5"/>
      <c r="H499" s="5"/>
      <c r="I499" s="5"/>
      <c r="K499" s="6"/>
    </row>
    <row r="500" ht="15.75" customHeight="1">
      <c r="G500" s="5"/>
      <c r="H500" s="5"/>
      <c r="I500" s="5"/>
      <c r="K500" s="6"/>
    </row>
    <row r="501" ht="15.75" customHeight="1">
      <c r="G501" s="5"/>
      <c r="H501" s="5"/>
      <c r="I501" s="5"/>
      <c r="K501" s="6"/>
    </row>
    <row r="502" ht="15.75" customHeight="1">
      <c r="G502" s="5"/>
      <c r="H502" s="5"/>
      <c r="I502" s="5"/>
      <c r="K502" s="6"/>
    </row>
    <row r="503" ht="15.75" customHeight="1">
      <c r="G503" s="5"/>
      <c r="H503" s="5"/>
      <c r="I503" s="5"/>
      <c r="K503" s="6"/>
    </row>
    <row r="504" ht="15.75" customHeight="1">
      <c r="G504" s="5"/>
      <c r="H504" s="5"/>
      <c r="I504" s="5"/>
      <c r="K504" s="6"/>
    </row>
    <row r="505" ht="15.75" customHeight="1">
      <c r="G505" s="5"/>
      <c r="H505" s="5"/>
      <c r="I505" s="5"/>
      <c r="K505" s="6"/>
    </row>
    <row r="506" ht="15.75" customHeight="1">
      <c r="G506" s="5"/>
      <c r="H506" s="5"/>
      <c r="I506" s="5"/>
      <c r="K506" s="6"/>
    </row>
    <row r="507" ht="15.75" customHeight="1">
      <c r="G507" s="5"/>
      <c r="H507" s="5"/>
      <c r="I507" s="5"/>
      <c r="K507" s="6"/>
    </row>
    <row r="508" ht="15.75" customHeight="1">
      <c r="G508" s="5"/>
      <c r="H508" s="5"/>
      <c r="I508" s="5"/>
      <c r="K508" s="6"/>
    </row>
    <row r="509" ht="15.75" customHeight="1">
      <c r="G509" s="5"/>
      <c r="H509" s="5"/>
      <c r="I509" s="5"/>
      <c r="K509" s="6"/>
    </row>
    <row r="510" ht="15.75" customHeight="1">
      <c r="G510" s="5"/>
      <c r="H510" s="5"/>
      <c r="I510" s="5"/>
      <c r="K510" s="6"/>
    </row>
    <row r="511" ht="15.75" customHeight="1">
      <c r="G511" s="5"/>
      <c r="H511" s="5"/>
      <c r="I511" s="5"/>
      <c r="K511" s="6"/>
    </row>
    <row r="512" ht="15.75" customHeight="1">
      <c r="G512" s="5"/>
      <c r="H512" s="5"/>
      <c r="I512" s="5"/>
      <c r="K512" s="6"/>
    </row>
    <row r="513" ht="15.75" customHeight="1">
      <c r="G513" s="5"/>
      <c r="H513" s="5"/>
      <c r="I513" s="5"/>
      <c r="K513" s="6"/>
    </row>
    <row r="514" ht="15.75" customHeight="1">
      <c r="G514" s="5"/>
      <c r="H514" s="5"/>
      <c r="I514" s="5"/>
      <c r="K514" s="6"/>
    </row>
    <row r="515" ht="15.75" customHeight="1">
      <c r="G515" s="5"/>
      <c r="H515" s="5"/>
      <c r="I515" s="5"/>
      <c r="K515" s="6"/>
    </row>
    <row r="516" ht="15.75" customHeight="1">
      <c r="G516" s="5"/>
      <c r="H516" s="5"/>
      <c r="I516" s="5"/>
      <c r="K516" s="6"/>
    </row>
    <row r="517" ht="15.75" customHeight="1">
      <c r="G517" s="5"/>
      <c r="H517" s="5"/>
      <c r="I517" s="5"/>
      <c r="K517" s="6"/>
    </row>
    <row r="518" ht="15.75" customHeight="1">
      <c r="G518" s="5"/>
      <c r="H518" s="5"/>
      <c r="I518" s="5"/>
      <c r="K518" s="6"/>
    </row>
    <row r="519" ht="15.75" customHeight="1">
      <c r="G519" s="5"/>
      <c r="H519" s="5"/>
      <c r="I519" s="5"/>
      <c r="K519" s="6"/>
    </row>
    <row r="520" ht="15.75" customHeight="1">
      <c r="G520" s="5"/>
      <c r="H520" s="5"/>
      <c r="I520" s="5"/>
      <c r="K520" s="6"/>
    </row>
    <row r="521" ht="15.75" customHeight="1">
      <c r="G521" s="5"/>
      <c r="H521" s="5"/>
      <c r="I521" s="5"/>
      <c r="K521" s="6"/>
    </row>
    <row r="522" ht="15.75" customHeight="1">
      <c r="G522" s="5"/>
      <c r="H522" s="5"/>
      <c r="I522" s="5"/>
      <c r="K522" s="6"/>
    </row>
    <row r="523" ht="15.75" customHeight="1">
      <c r="G523" s="5"/>
      <c r="H523" s="5"/>
      <c r="I523" s="5"/>
      <c r="K523" s="6"/>
    </row>
    <row r="524" ht="15.75" customHeight="1">
      <c r="G524" s="5"/>
      <c r="H524" s="5"/>
      <c r="I524" s="5"/>
      <c r="K524" s="6"/>
    </row>
    <row r="525" ht="15.75" customHeight="1">
      <c r="G525" s="5"/>
      <c r="H525" s="5"/>
      <c r="I525" s="5"/>
      <c r="K525" s="6"/>
    </row>
    <row r="526" ht="15.75" customHeight="1">
      <c r="G526" s="5"/>
      <c r="H526" s="5"/>
      <c r="I526" s="5"/>
      <c r="K526" s="6"/>
    </row>
    <row r="527" ht="15.75" customHeight="1">
      <c r="G527" s="5"/>
      <c r="H527" s="5"/>
      <c r="I527" s="5"/>
      <c r="K527" s="6"/>
    </row>
    <row r="528" ht="15.75" customHeight="1">
      <c r="G528" s="5"/>
      <c r="H528" s="5"/>
      <c r="I528" s="5"/>
      <c r="K528" s="6"/>
    </row>
    <row r="529" ht="15.75" customHeight="1">
      <c r="G529" s="5"/>
      <c r="H529" s="5"/>
      <c r="I529" s="5"/>
      <c r="K529" s="6"/>
    </row>
    <row r="530" ht="15.75" customHeight="1">
      <c r="G530" s="5"/>
      <c r="H530" s="5"/>
      <c r="I530" s="5"/>
      <c r="K530" s="6"/>
    </row>
    <row r="531" ht="15.75" customHeight="1">
      <c r="G531" s="5"/>
      <c r="H531" s="5"/>
      <c r="I531" s="5"/>
      <c r="K531" s="6"/>
    </row>
    <row r="532" ht="15.75" customHeight="1">
      <c r="G532" s="5"/>
      <c r="H532" s="5"/>
      <c r="I532" s="5"/>
      <c r="K532" s="6"/>
    </row>
    <row r="533" ht="15.75" customHeight="1">
      <c r="G533" s="5"/>
      <c r="H533" s="5"/>
      <c r="I533" s="5"/>
      <c r="K533" s="6"/>
    </row>
    <row r="534" ht="15.75" customHeight="1">
      <c r="G534" s="5"/>
      <c r="H534" s="5"/>
      <c r="I534" s="5"/>
      <c r="K534" s="6"/>
    </row>
    <row r="535" ht="15.75" customHeight="1">
      <c r="G535" s="5"/>
      <c r="H535" s="5"/>
      <c r="I535" s="5"/>
      <c r="K535" s="6"/>
    </row>
    <row r="536" ht="15.75" customHeight="1">
      <c r="G536" s="5"/>
      <c r="H536" s="5"/>
      <c r="I536" s="5"/>
      <c r="K536" s="6"/>
    </row>
    <row r="537" ht="15.75" customHeight="1">
      <c r="G537" s="5"/>
      <c r="H537" s="5"/>
      <c r="I537" s="5"/>
      <c r="K537" s="6"/>
    </row>
    <row r="538" ht="15.75" customHeight="1">
      <c r="G538" s="5"/>
      <c r="H538" s="5"/>
      <c r="I538" s="5"/>
      <c r="K538" s="6"/>
    </row>
    <row r="539" ht="15.75" customHeight="1">
      <c r="G539" s="5"/>
      <c r="H539" s="5"/>
      <c r="I539" s="5"/>
      <c r="K539" s="6"/>
    </row>
    <row r="540" ht="15.75" customHeight="1">
      <c r="G540" s="5"/>
      <c r="H540" s="5"/>
      <c r="I540" s="5"/>
      <c r="K540" s="6"/>
    </row>
    <row r="541" ht="15.75" customHeight="1">
      <c r="G541" s="5"/>
      <c r="H541" s="5"/>
      <c r="I541" s="5"/>
      <c r="K541" s="6"/>
    </row>
    <row r="542" ht="15.75" customHeight="1">
      <c r="G542" s="5"/>
      <c r="H542" s="5"/>
      <c r="I542" s="5"/>
      <c r="K542" s="6"/>
    </row>
    <row r="543" ht="15.75" customHeight="1">
      <c r="G543" s="5"/>
      <c r="H543" s="5"/>
      <c r="I543" s="5"/>
      <c r="K543" s="6"/>
    </row>
    <row r="544" ht="15.75" customHeight="1">
      <c r="G544" s="5"/>
      <c r="H544" s="5"/>
      <c r="I544" s="5"/>
      <c r="K544" s="6"/>
    </row>
    <row r="545" ht="15.75" customHeight="1">
      <c r="G545" s="5"/>
      <c r="H545" s="5"/>
      <c r="I545" s="5"/>
      <c r="K545" s="6"/>
    </row>
    <row r="546" ht="15.75" customHeight="1">
      <c r="G546" s="5"/>
      <c r="H546" s="5"/>
      <c r="I546" s="5"/>
      <c r="K546" s="6"/>
    </row>
    <row r="547" ht="15.75" customHeight="1">
      <c r="G547" s="5"/>
      <c r="H547" s="5"/>
      <c r="I547" s="5"/>
      <c r="K547" s="6"/>
    </row>
    <row r="548" ht="15.75" customHeight="1">
      <c r="G548" s="5"/>
      <c r="H548" s="5"/>
      <c r="I548" s="5"/>
      <c r="K548" s="6"/>
    </row>
    <row r="549" ht="15.75" customHeight="1">
      <c r="G549" s="5"/>
      <c r="H549" s="5"/>
      <c r="I549" s="5"/>
      <c r="K549" s="6"/>
    </row>
    <row r="550" ht="15.75" customHeight="1">
      <c r="G550" s="5"/>
      <c r="H550" s="5"/>
      <c r="I550" s="5"/>
      <c r="K550" s="6"/>
    </row>
    <row r="551" ht="15.75" customHeight="1">
      <c r="G551" s="5"/>
      <c r="H551" s="5"/>
      <c r="I551" s="5"/>
      <c r="K551" s="6"/>
    </row>
    <row r="552" ht="15.75" customHeight="1">
      <c r="G552" s="5"/>
      <c r="H552" s="5"/>
      <c r="I552" s="5"/>
      <c r="K552" s="6"/>
    </row>
    <row r="553" ht="15.75" customHeight="1">
      <c r="G553" s="5"/>
      <c r="H553" s="5"/>
      <c r="I553" s="5"/>
      <c r="K553" s="6"/>
    </row>
    <row r="554" ht="15.75" customHeight="1">
      <c r="G554" s="5"/>
      <c r="H554" s="5"/>
      <c r="I554" s="5"/>
      <c r="K554" s="6"/>
    </row>
    <row r="555" ht="15.75" customHeight="1">
      <c r="G555" s="5"/>
      <c r="H555" s="5"/>
      <c r="I555" s="5"/>
      <c r="K555" s="6"/>
    </row>
    <row r="556" ht="15.75" customHeight="1">
      <c r="G556" s="5"/>
      <c r="H556" s="5"/>
      <c r="I556" s="5"/>
      <c r="K556" s="6"/>
    </row>
    <row r="557" ht="15.75" customHeight="1">
      <c r="G557" s="5"/>
      <c r="H557" s="5"/>
      <c r="I557" s="5"/>
      <c r="K557" s="6"/>
    </row>
    <row r="558" ht="15.75" customHeight="1">
      <c r="G558" s="5"/>
      <c r="H558" s="5"/>
      <c r="I558" s="5"/>
      <c r="K558" s="6"/>
    </row>
    <row r="559" ht="15.75" customHeight="1">
      <c r="G559" s="5"/>
      <c r="H559" s="5"/>
      <c r="I559" s="5"/>
      <c r="K559" s="6"/>
    </row>
    <row r="560" ht="15.75" customHeight="1">
      <c r="G560" s="5"/>
      <c r="H560" s="5"/>
      <c r="I560" s="5"/>
      <c r="K560" s="6"/>
    </row>
    <row r="561" ht="15.75" customHeight="1">
      <c r="G561" s="5"/>
      <c r="H561" s="5"/>
      <c r="I561" s="5"/>
      <c r="K561" s="6"/>
    </row>
    <row r="562" ht="15.75" customHeight="1">
      <c r="G562" s="5"/>
      <c r="H562" s="5"/>
      <c r="I562" s="5"/>
      <c r="K562" s="6"/>
    </row>
    <row r="563" ht="15.75" customHeight="1">
      <c r="G563" s="5"/>
      <c r="H563" s="5"/>
      <c r="I563" s="5"/>
      <c r="K563" s="6"/>
    </row>
    <row r="564" ht="15.75" customHeight="1">
      <c r="G564" s="5"/>
      <c r="H564" s="5"/>
      <c r="I564" s="5"/>
      <c r="K564" s="6"/>
    </row>
    <row r="565" ht="15.75" customHeight="1">
      <c r="G565" s="5"/>
      <c r="H565" s="5"/>
      <c r="I565" s="5"/>
      <c r="K565" s="6"/>
    </row>
    <row r="566" ht="15.75" customHeight="1">
      <c r="G566" s="5"/>
      <c r="H566" s="5"/>
      <c r="I566" s="5"/>
      <c r="K566" s="6"/>
    </row>
    <row r="567" ht="15.75" customHeight="1">
      <c r="G567" s="5"/>
      <c r="H567" s="5"/>
      <c r="I567" s="5"/>
      <c r="K567" s="6"/>
    </row>
    <row r="568" ht="15.75" customHeight="1">
      <c r="G568" s="5"/>
      <c r="H568" s="5"/>
      <c r="I568" s="5"/>
      <c r="K568" s="6"/>
    </row>
    <row r="569" ht="15.75" customHeight="1">
      <c r="G569" s="5"/>
      <c r="H569" s="5"/>
      <c r="I569" s="5"/>
      <c r="K569" s="6"/>
    </row>
    <row r="570" ht="15.75" customHeight="1">
      <c r="G570" s="5"/>
      <c r="H570" s="5"/>
      <c r="I570" s="5"/>
      <c r="K570" s="6"/>
    </row>
    <row r="571" ht="15.75" customHeight="1">
      <c r="G571" s="5"/>
      <c r="H571" s="5"/>
      <c r="I571" s="5"/>
      <c r="K571" s="6"/>
    </row>
    <row r="572" ht="15.75" customHeight="1">
      <c r="G572" s="5"/>
      <c r="H572" s="5"/>
      <c r="I572" s="5"/>
      <c r="K572" s="6"/>
    </row>
    <row r="573" ht="15.75" customHeight="1">
      <c r="G573" s="5"/>
      <c r="H573" s="5"/>
      <c r="I573" s="5"/>
      <c r="K573" s="6"/>
    </row>
    <row r="574" ht="15.75" customHeight="1">
      <c r="G574" s="5"/>
      <c r="H574" s="5"/>
      <c r="I574" s="5"/>
      <c r="K574" s="6"/>
    </row>
    <row r="575" ht="15.75" customHeight="1">
      <c r="G575" s="5"/>
      <c r="H575" s="5"/>
      <c r="I575" s="5"/>
      <c r="K575" s="6"/>
    </row>
    <row r="576" ht="15.75" customHeight="1">
      <c r="G576" s="5"/>
      <c r="H576" s="5"/>
      <c r="I576" s="5"/>
      <c r="K576" s="6"/>
    </row>
    <row r="577" ht="15.75" customHeight="1">
      <c r="G577" s="5"/>
      <c r="H577" s="5"/>
      <c r="I577" s="5"/>
      <c r="K577" s="6"/>
    </row>
    <row r="578" ht="15.75" customHeight="1">
      <c r="G578" s="5"/>
      <c r="H578" s="5"/>
      <c r="I578" s="5"/>
      <c r="K578" s="6"/>
    </row>
    <row r="579" ht="15.75" customHeight="1">
      <c r="G579" s="5"/>
      <c r="H579" s="5"/>
      <c r="I579" s="5"/>
      <c r="K579" s="6"/>
    </row>
    <row r="580" ht="15.75" customHeight="1">
      <c r="G580" s="5"/>
      <c r="H580" s="5"/>
      <c r="I580" s="5"/>
      <c r="K580" s="6"/>
    </row>
    <row r="581" ht="15.75" customHeight="1">
      <c r="G581" s="5"/>
      <c r="H581" s="5"/>
      <c r="I581" s="5"/>
      <c r="K581" s="6"/>
    </row>
    <row r="582" ht="15.75" customHeight="1">
      <c r="G582" s="5"/>
      <c r="H582" s="5"/>
      <c r="I582" s="5"/>
      <c r="K582" s="6"/>
    </row>
    <row r="583" ht="15.75" customHeight="1">
      <c r="G583" s="5"/>
      <c r="H583" s="5"/>
      <c r="I583" s="5"/>
      <c r="K583" s="6"/>
    </row>
    <row r="584" ht="15.75" customHeight="1">
      <c r="G584" s="5"/>
      <c r="H584" s="5"/>
      <c r="I584" s="5"/>
      <c r="K584" s="6"/>
    </row>
    <row r="585" ht="15.75" customHeight="1">
      <c r="G585" s="5"/>
      <c r="H585" s="5"/>
      <c r="I585" s="5"/>
      <c r="K585" s="6"/>
    </row>
    <row r="586" ht="15.75" customHeight="1">
      <c r="G586" s="5"/>
      <c r="H586" s="5"/>
      <c r="I586" s="5"/>
      <c r="K586" s="6"/>
    </row>
    <row r="587" ht="15.75" customHeight="1">
      <c r="G587" s="5"/>
      <c r="H587" s="5"/>
      <c r="I587" s="5"/>
      <c r="K587" s="6"/>
    </row>
    <row r="588" ht="15.75" customHeight="1">
      <c r="G588" s="5"/>
      <c r="H588" s="5"/>
      <c r="I588" s="5"/>
      <c r="K588" s="6"/>
    </row>
    <row r="589" ht="15.75" customHeight="1">
      <c r="G589" s="5"/>
      <c r="H589" s="5"/>
      <c r="I589" s="5"/>
      <c r="K589" s="6"/>
    </row>
    <row r="590" ht="15.75" customHeight="1">
      <c r="G590" s="5"/>
      <c r="H590" s="5"/>
      <c r="I590" s="5"/>
      <c r="K590" s="6"/>
    </row>
    <row r="591" ht="15.75" customHeight="1">
      <c r="G591" s="5"/>
      <c r="H591" s="5"/>
      <c r="I591" s="5"/>
      <c r="K591" s="6"/>
    </row>
    <row r="592" ht="15.75" customHeight="1">
      <c r="G592" s="5"/>
      <c r="H592" s="5"/>
      <c r="I592" s="5"/>
      <c r="K592" s="6"/>
    </row>
    <row r="593" ht="15.75" customHeight="1">
      <c r="G593" s="5"/>
      <c r="H593" s="5"/>
      <c r="I593" s="5"/>
      <c r="K593" s="6"/>
    </row>
    <row r="594" ht="15.75" customHeight="1">
      <c r="G594" s="5"/>
      <c r="H594" s="5"/>
      <c r="I594" s="5"/>
      <c r="K594" s="6"/>
    </row>
    <row r="595" ht="15.75" customHeight="1">
      <c r="G595" s="5"/>
      <c r="H595" s="5"/>
      <c r="I595" s="5"/>
      <c r="K595" s="6"/>
    </row>
    <row r="596" ht="15.75" customHeight="1">
      <c r="G596" s="5"/>
      <c r="H596" s="5"/>
      <c r="I596" s="5"/>
      <c r="K596" s="6"/>
    </row>
    <row r="597" ht="15.75" customHeight="1">
      <c r="G597" s="5"/>
      <c r="H597" s="5"/>
      <c r="I597" s="5"/>
      <c r="K597" s="6"/>
    </row>
    <row r="598" ht="15.75" customHeight="1">
      <c r="G598" s="5"/>
      <c r="H598" s="5"/>
      <c r="I598" s="5"/>
      <c r="K598" s="6"/>
    </row>
    <row r="599" ht="15.75" customHeight="1">
      <c r="G599" s="5"/>
      <c r="H599" s="5"/>
      <c r="I599" s="5"/>
      <c r="K599" s="6"/>
    </row>
    <row r="600" ht="15.75" customHeight="1">
      <c r="G600" s="5"/>
      <c r="H600" s="5"/>
      <c r="I600" s="5"/>
      <c r="K600" s="6"/>
    </row>
    <row r="601" ht="15.75" customHeight="1">
      <c r="G601" s="5"/>
      <c r="H601" s="5"/>
      <c r="I601" s="5"/>
      <c r="K601" s="6"/>
    </row>
    <row r="602" ht="15.75" customHeight="1">
      <c r="G602" s="5"/>
      <c r="H602" s="5"/>
      <c r="I602" s="5"/>
      <c r="K602" s="6"/>
    </row>
    <row r="603" ht="15.75" customHeight="1">
      <c r="G603" s="5"/>
      <c r="H603" s="5"/>
      <c r="I603" s="5"/>
      <c r="K603" s="6"/>
    </row>
    <row r="604" ht="15.75" customHeight="1">
      <c r="G604" s="5"/>
      <c r="H604" s="5"/>
      <c r="I604" s="5"/>
      <c r="K604" s="6"/>
    </row>
    <row r="605" ht="15.75" customHeight="1">
      <c r="G605" s="5"/>
      <c r="H605" s="5"/>
      <c r="I605" s="5"/>
      <c r="K605" s="6"/>
    </row>
    <row r="606" ht="15.75" customHeight="1">
      <c r="G606" s="5"/>
      <c r="H606" s="5"/>
      <c r="I606" s="5"/>
      <c r="K606" s="6"/>
    </row>
    <row r="607" ht="15.75" customHeight="1">
      <c r="G607" s="5"/>
      <c r="H607" s="5"/>
      <c r="I607" s="5"/>
      <c r="K607" s="6"/>
    </row>
    <row r="608" ht="15.75" customHeight="1">
      <c r="G608" s="5"/>
      <c r="H608" s="5"/>
      <c r="I608" s="5"/>
      <c r="K608" s="6"/>
    </row>
    <row r="609" ht="15.75" customHeight="1">
      <c r="G609" s="5"/>
      <c r="H609" s="5"/>
      <c r="I609" s="5"/>
      <c r="K609" s="6"/>
    </row>
    <row r="610" ht="15.75" customHeight="1">
      <c r="G610" s="5"/>
      <c r="H610" s="5"/>
      <c r="I610" s="5"/>
      <c r="K610" s="6"/>
    </row>
    <row r="611" ht="15.75" customHeight="1">
      <c r="G611" s="5"/>
      <c r="H611" s="5"/>
      <c r="I611" s="5"/>
      <c r="K611" s="6"/>
    </row>
    <row r="612" ht="15.75" customHeight="1">
      <c r="G612" s="5"/>
      <c r="H612" s="5"/>
      <c r="I612" s="5"/>
      <c r="K612" s="6"/>
    </row>
    <row r="613" ht="15.75" customHeight="1">
      <c r="G613" s="5"/>
      <c r="H613" s="5"/>
      <c r="I613" s="5"/>
      <c r="K613" s="6"/>
    </row>
    <row r="614" ht="15.75" customHeight="1">
      <c r="G614" s="5"/>
      <c r="H614" s="5"/>
      <c r="I614" s="5"/>
      <c r="K614" s="6"/>
    </row>
    <row r="615" ht="15.75" customHeight="1">
      <c r="G615" s="5"/>
      <c r="H615" s="5"/>
      <c r="I615" s="5"/>
      <c r="K615" s="6"/>
    </row>
    <row r="616" ht="15.75" customHeight="1">
      <c r="G616" s="5"/>
      <c r="H616" s="5"/>
      <c r="I616" s="5"/>
      <c r="K616" s="6"/>
    </row>
    <row r="617" ht="15.75" customHeight="1">
      <c r="G617" s="5"/>
      <c r="H617" s="5"/>
      <c r="I617" s="5"/>
      <c r="K617" s="6"/>
    </row>
    <row r="618" ht="15.75" customHeight="1">
      <c r="G618" s="5"/>
      <c r="H618" s="5"/>
      <c r="I618" s="5"/>
      <c r="K618" s="6"/>
    </row>
    <row r="619" ht="15.75" customHeight="1">
      <c r="G619" s="5"/>
      <c r="H619" s="5"/>
      <c r="I619" s="5"/>
      <c r="K619" s="6"/>
    </row>
    <row r="620" ht="15.75" customHeight="1">
      <c r="G620" s="5"/>
      <c r="H620" s="5"/>
      <c r="I620" s="5"/>
      <c r="K620" s="6"/>
    </row>
    <row r="621" ht="15.75" customHeight="1">
      <c r="G621" s="5"/>
      <c r="H621" s="5"/>
      <c r="I621" s="5"/>
      <c r="K621" s="6"/>
    </row>
    <row r="622" ht="15.75" customHeight="1">
      <c r="G622" s="5"/>
      <c r="H622" s="5"/>
      <c r="I622" s="5"/>
      <c r="K622" s="6"/>
    </row>
    <row r="623" ht="15.75" customHeight="1">
      <c r="G623" s="5"/>
      <c r="H623" s="5"/>
      <c r="I623" s="5"/>
      <c r="K623" s="6"/>
    </row>
    <row r="624" ht="15.75" customHeight="1">
      <c r="G624" s="5"/>
      <c r="H624" s="5"/>
      <c r="I624" s="5"/>
      <c r="K624" s="6"/>
    </row>
    <row r="625" ht="15.75" customHeight="1">
      <c r="G625" s="5"/>
      <c r="H625" s="5"/>
      <c r="I625" s="5"/>
      <c r="K625" s="6"/>
    </row>
    <row r="626" ht="15.75" customHeight="1">
      <c r="G626" s="5"/>
      <c r="H626" s="5"/>
      <c r="I626" s="5"/>
      <c r="K626" s="6"/>
    </row>
    <row r="627" ht="15.75" customHeight="1">
      <c r="G627" s="5"/>
      <c r="H627" s="5"/>
      <c r="I627" s="5"/>
      <c r="K627" s="6"/>
    </row>
    <row r="628" ht="15.75" customHeight="1">
      <c r="G628" s="5"/>
      <c r="H628" s="5"/>
      <c r="I628" s="5"/>
      <c r="K628" s="6"/>
    </row>
    <row r="629" ht="15.75" customHeight="1">
      <c r="G629" s="5"/>
      <c r="H629" s="5"/>
      <c r="I629" s="5"/>
      <c r="K629" s="6"/>
    </row>
    <row r="630" ht="15.75" customHeight="1">
      <c r="G630" s="5"/>
      <c r="H630" s="5"/>
      <c r="I630" s="5"/>
      <c r="K630" s="6"/>
    </row>
    <row r="631" ht="15.75" customHeight="1">
      <c r="G631" s="5"/>
      <c r="H631" s="5"/>
      <c r="I631" s="5"/>
      <c r="K631" s="6"/>
    </row>
    <row r="632" ht="15.75" customHeight="1">
      <c r="G632" s="5"/>
      <c r="H632" s="5"/>
      <c r="I632" s="5"/>
      <c r="K632" s="6"/>
    </row>
    <row r="633" ht="15.75" customHeight="1">
      <c r="G633" s="5"/>
      <c r="H633" s="5"/>
      <c r="I633" s="5"/>
      <c r="K633" s="6"/>
    </row>
    <row r="634" ht="15.75" customHeight="1">
      <c r="G634" s="5"/>
      <c r="H634" s="5"/>
      <c r="I634" s="5"/>
      <c r="K634" s="6"/>
    </row>
    <row r="635" ht="15.75" customHeight="1">
      <c r="G635" s="5"/>
      <c r="H635" s="5"/>
      <c r="I635" s="5"/>
      <c r="K635" s="6"/>
    </row>
    <row r="636" ht="15.75" customHeight="1">
      <c r="G636" s="5"/>
      <c r="H636" s="5"/>
      <c r="I636" s="5"/>
      <c r="K636" s="6"/>
    </row>
    <row r="637" ht="15.75" customHeight="1">
      <c r="G637" s="5"/>
      <c r="H637" s="5"/>
      <c r="I637" s="5"/>
      <c r="K637" s="6"/>
    </row>
    <row r="638" ht="15.75" customHeight="1">
      <c r="G638" s="5"/>
      <c r="H638" s="5"/>
      <c r="I638" s="5"/>
      <c r="K638" s="6"/>
    </row>
    <row r="639" ht="15.75" customHeight="1">
      <c r="G639" s="5"/>
      <c r="H639" s="5"/>
      <c r="I639" s="5"/>
      <c r="K639" s="6"/>
    </row>
    <row r="640" ht="15.75" customHeight="1">
      <c r="G640" s="5"/>
      <c r="H640" s="5"/>
      <c r="I640" s="5"/>
      <c r="K640" s="6"/>
    </row>
    <row r="641" ht="15.75" customHeight="1">
      <c r="G641" s="5"/>
      <c r="H641" s="5"/>
      <c r="I641" s="5"/>
      <c r="K641" s="6"/>
    </row>
    <row r="642" ht="15.75" customHeight="1">
      <c r="G642" s="5"/>
      <c r="H642" s="5"/>
      <c r="I642" s="5"/>
      <c r="K642" s="6"/>
    </row>
    <row r="643" ht="15.75" customHeight="1">
      <c r="G643" s="5"/>
      <c r="H643" s="5"/>
      <c r="I643" s="5"/>
      <c r="K643" s="6"/>
    </row>
    <row r="644" ht="15.75" customHeight="1">
      <c r="G644" s="5"/>
      <c r="H644" s="5"/>
      <c r="I644" s="5"/>
      <c r="K644" s="6"/>
    </row>
    <row r="645" ht="15.75" customHeight="1">
      <c r="G645" s="5"/>
      <c r="H645" s="5"/>
      <c r="I645" s="5"/>
      <c r="K645" s="6"/>
    </row>
    <row r="646" ht="15.75" customHeight="1">
      <c r="G646" s="5"/>
      <c r="H646" s="5"/>
      <c r="I646" s="5"/>
      <c r="K646" s="6"/>
    </row>
    <row r="647" ht="15.75" customHeight="1">
      <c r="G647" s="5"/>
      <c r="H647" s="5"/>
      <c r="I647" s="5"/>
      <c r="K647" s="6"/>
    </row>
    <row r="648" ht="15.75" customHeight="1">
      <c r="G648" s="5"/>
      <c r="H648" s="5"/>
      <c r="I648" s="5"/>
      <c r="K648" s="6"/>
    </row>
    <row r="649" ht="15.75" customHeight="1">
      <c r="G649" s="5"/>
      <c r="H649" s="5"/>
      <c r="I649" s="5"/>
      <c r="K649" s="6"/>
    </row>
    <row r="650" ht="15.75" customHeight="1">
      <c r="G650" s="5"/>
      <c r="H650" s="5"/>
      <c r="I650" s="5"/>
      <c r="K650" s="6"/>
    </row>
    <row r="651" ht="15.75" customHeight="1">
      <c r="G651" s="5"/>
      <c r="H651" s="5"/>
      <c r="I651" s="5"/>
      <c r="K651" s="6"/>
    </row>
    <row r="652" ht="15.75" customHeight="1">
      <c r="G652" s="5"/>
      <c r="H652" s="5"/>
      <c r="I652" s="5"/>
      <c r="K652" s="6"/>
    </row>
    <row r="653" ht="15.75" customHeight="1">
      <c r="G653" s="5"/>
      <c r="H653" s="5"/>
      <c r="I653" s="5"/>
      <c r="K653" s="6"/>
    </row>
    <row r="654" ht="15.75" customHeight="1">
      <c r="G654" s="5"/>
      <c r="H654" s="5"/>
      <c r="I654" s="5"/>
      <c r="K654" s="6"/>
    </row>
    <row r="655" ht="15.75" customHeight="1">
      <c r="G655" s="5"/>
      <c r="H655" s="5"/>
      <c r="I655" s="5"/>
      <c r="K655" s="6"/>
    </row>
    <row r="656" ht="15.75" customHeight="1">
      <c r="G656" s="5"/>
      <c r="H656" s="5"/>
      <c r="I656" s="5"/>
      <c r="K656" s="6"/>
    </row>
    <row r="657" ht="15.75" customHeight="1">
      <c r="G657" s="5"/>
      <c r="H657" s="5"/>
      <c r="I657" s="5"/>
      <c r="K657" s="6"/>
    </row>
    <row r="658" ht="15.75" customHeight="1">
      <c r="G658" s="5"/>
      <c r="H658" s="5"/>
      <c r="I658" s="5"/>
      <c r="K658" s="6"/>
    </row>
    <row r="659" ht="15.75" customHeight="1">
      <c r="G659" s="5"/>
      <c r="H659" s="5"/>
      <c r="I659" s="5"/>
      <c r="K659" s="6"/>
    </row>
    <row r="660" ht="15.75" customHeight="1">
      <c r="G660" s="5"/>
      <c r="H660" s="5"/>
      <c r="I660" s="5"/>
      <c r="K660" s="6"/>
    </row>
    <row r="661" ht="15.75" customHeight="1">
      <c r="G661" s="5"/>
      <c r="H661" s="5"/>
      <c r="I661" s="5"/>
      <c r="K661" s="6"/>
    </row>
    <row r="662" ht="15.75" customHeight="1">
      <c r="G662" s="5"/>
      <c r="H662" s="5"/>
      <c r="I662" s="5"/>
      <c r="K662" s="6"/>
    </row>
    <row r="663" ht="15.75" customHeight="1">
      <c r="G663" s="5"/>
      <c r="H663" s="5"/>
      <c r="I663" s="5"/>
      <c r="K663" s="6"/>
    </row>
    <row r="664" ht="15.75" customHeight="1">
      <c r="G664" s="5"/>
      <c r="H664" s="5"/>
      <c r="I664" s="5"/>
      <c r="K664" s="6"/>
    </row>
    <row r="665" ht="15.75" customHeight="1">
      <c r="G665" s="5"/>
      <c r="H665" s="5"/>
      <c r="I665" s="5"/>
      <c r="K665" s="6"/>
    </row>
    <row r="666" ht="15.75" customHeight="1">
      <c r="G666" s="5"/>
      <c r="H666" s="5"/>
      <c r="I666" s="5"/>
      <c r="K666" s="6"/>
    </row>
    <row r="667" ht="15.75" customHeight="1">
      <c r="G667" s="5"/>
      <c r="H667" s="5"/>
      <c r="I667" s="5"/>
      <c r="K667" s="6"/>
    </row>
    <row r="668" ht="15.75" customHeight="1">
      <c r="G668" s="5"/>
      <c r="H668" s="5"/>
      <c r="I668" s="5"/>
      <c r="K668" s="6"/>
    </row>
    <row r="669" ht="15.75" customHeight="1">
      <c r="G669" s="5"/>
      <c r="H669" s="5"/>
      <c r="I669" s="5"/>
      <c r="K669" s="6"/>
    </row>
    <row r="670" ht="15.75" customHeight="1">
      <c r="G670" s="5"/>
      <c r="H670" s="5"/>
      <c r="I670" s="5"/>
      <c r="K670" s="6"/>
    </row>
    <row r="671" ht="15.75" customHeight="1">
      <c r="G671" s="5"/>
      <c r="H671" s="5"/>
      <c r="I671" s="5"/>
      <c r="K671" s="6"/>
    </row>
    <row r="672" ht="15.75" customHeight="1">
      <c r="G672" s="5"/>
      <c r="H672" s="5"/>
      <c r="I672" s="5"/>
      <c r="K672" s="6"/>
    </row>
    <row r="673" ht="15.75" customHeight="1">
      <c r="G673" s="5"/>
      <c r="H673" s="5"/>
      <c r="I673" s="5"/>
      <c r="K673" s="6"/>
    </row>
    <row r="674" ht="15.75" customHeight="1">
      <c r="G674" s="5"/>
      <c r="H674" s="5"/>
      <c r="I674" s="5"/>
      <c r="K674" s="6"/>
    </row>
    <row r="675" ht="15.75" customHeight="1">
      <c r="G675" s="5"/>
      <c r="H675" s="5"/>
      <c r="I675" s="5"/>
      <c r="K675" s="6"/>
    </row>
    <row r="676" ht="15.75" customHeight="1">
      <c r="G676" s="5"/>
      <c r="H676" s="5"/>
      <c r="I676" s="5"/>
      <c r="K676" s="6"/>
    </row>
    <row r="677" ht="15.75" customHeight="1">
      <c r="G677" s="5"/>
      <c r="H677" s="5"/>
      <c r="I677" s="5"/>
      <c r="K677" s="6"/>
    </row>
    <row r="678" ht="15.75" customHeight="1">
      <c r="G678" s="5"/>
      <c r="H678" s="5"/>
      <c r="I678" s="5"/>
      <c r="K678" s="6"/>
    </row>
    <row r="679" ht="15.75" customHeight="1">
      <c r="G679" s="5"/>
      <c r="H679" s="5"/>
      <c r="I679" s="5"/>
      <c r="K679" s="6"/>
    </row>
    <row r="680" ht="15.75" customHeight="1">
      <c r="G680" s="5"/>
      <c r="H680" s="5"/>
      <c r="I680" s="5"/>
      <c r="K680" s="6"/>
    </row>
    <row r="681" ht="15.75" customHeight="1">
      <c r="G681" s="5"/>
      <c r="H681" s="5"/>
      <c r="I681" s="5"/>
      <c r="K681" s="6"/>
    </row>
    <row r="682" ht="15.75" customHeight="1">
      <c r="G682" s="5"/>
      <c r="H682" s="5"/>
      <c r="I682" s="5"/>
      <c r="K682" s="6"/>
    </row>
    <row r="683" ht="15.75" customHeight="1">
      <c r="G683" s="5"/>
      <c r="H683" s="5"/>
      <c r="I683" s="5"/>
      <c r="K683" s="6"/>
    </row>
    <row r="684" ht="15.75" customHeight="1">
      <c r="G684" s="5"/>
      <c r="H684" s="5"/>
      <c r="I684" s="5"/>
      <c r="K684" s="6"/>
    </row>
    <row r="685" ht="15.75" customHeight="1">
      <c r="G685" s="5"/>
      <c r="H685" s="5"/>
      <c r="I685" s="5"/>
      <c r="K685" s="6"/>
    </row>
    <row r="686" ht="15.75" customHeight="1">
      <c r="G686" s="5"/>
      <c r="H686" s="5"/>
      <c r="I686" s="5"/>
      <c r="K686" s="6"/>
    </row>
    <row r="687" ht="15.75" customHeight="1">
      <c r="G687" s="5"/>
      <c r="H687" s="5"/>
      <c r="I687" s="5"/>
      <c r="K687" s="6"/>
    </row>
    <row r="688" ht="15.75" customHeight="1">
      <c r="G688" s="5"/>
      <c r="H688" s="5"/>
      <c r="I688" s="5"/>
      <c r="K688" s="6"/>
    </row>
    <row r="689" ht="15.75" customHeight="1">
      <c r="G689" s="5"/>
      <c r="H689" s="5"/>
      <c r="I689" s="5"/>
      <c r="K689" s="6"/>
    </row>
    <row r="690" ht="15.75" customHeight="1">
      <c r="G690" s="5"/>
      <c r="H690" s="5"/>
      <c r="I690" s="5"/>
      <c r="K690" s="6"/>
    </row>
    <row r="691" ht="15.75" customHeight="1">
      <c r="G691" s="5"/>
      <c r="H691" s="5"/>
      <c r="I691" s="5"/>
      <c r="K691" s="6"/>
    </row>
    <row r="692" ht="15.75" customHeight="1">
      <c r="G692" s="5"/>
      <c r="H692" s="5"/>
      <c r="I692" s="5"/>
      <c r="K692" s="6"/>
    </row>
    <row r="693" ht="15.75" customHeight="1">
      <c r="G693" s="5"/>
      <c r="H693" s="5"/>
      <c r="I693" s="5"/>
      <c r="K693" s="6"/>
    </row>
    <row r="694" ht="15.75" customHeight="1">
      <c r="G694" s="5"/>
      <c r="H694" s="5"/>
      <c r="I694" s="5"/>
      <c r="K694" s="6"/>
    </row>
    <row r="695" ht="15.75" customHeight="1">
      <c r="G695" s="5"/>
      <c r="H695" s="5"/>
      <c r="I695" s="5"/>
      <c r="K695" s="6"/>
    </row>
    <row r="696" ht="15.75" customHeight="1">
      <c r="G696" s="5"/>
      <c r="H696" s="5"/>
      <c r="I696" s="5"/>
      <c r="K696" s="6"/>
    </row>
    <row r="697" ht="15.75" customHeight="1">
      <c r="G697" s="5"/>
      <c r="H697" s="5"/>
      <c r="I697" s="5"/>
      <c r="K697" s="6"/>
    </row>
    <row r="698" ht="15.75" customHeight="1">
      <c r="G698" s="5"/>
      <c r="H698" s="5"/>
      <c r="I698" s="5"/>
      <c r="K698" s="6"/>
    </row>
    <row r="699" ht="15.75" customHeight="1">
      <c r="G699" s="5"/>
      <c r="H699" s="5"/>
      <c r="I699" s="5"/>
      <c r="K699" s="6"/>
    </row>
    <row r="700" ht="15.75" customHeight="1">
      <c r="G700" s="5"/>
      <c r="H700" s="5"/>
      <c r="I700" s="5"/>
      <c r="K700" s="6"/>
    </row>
    <row r="701" ht="15.75" customHeight="1">
      <c r="G701" s="5"/>
      <c r="H701" s="5"/>
      <c r="I701" s="5"/>
      <c r="K701" s="6"/>
    </row>
    <row r="702" ht="15.75" customHeight="1">
      <c r="G702" s="5"/>
      <c r="H702" s="5"/>
      <c r="I702" s="5"/>
      <c r="K702" s="6"/>
    </row>
    <row r="703" ht="15.75" customHeight="1">
      <c r="G703" s="5"/>
      <c r="H703" s="5"/>
      <c r="I703" s="5"/>
      <c r="K703" s="6"/>
    </row>
    <row r="704" ht="15.75" customHeight="1">
      <c r="G704" s="5"/>
      <c r="H704" s="5"/>
      <c r="I704" s="5"/>
      <c r="K704" s="6"/>
    </row>
    <row r="705" ht="15.75" customHeight="1">
      <c r="G705" s="5"/>
      <c r="H705" s="5"/>
      <c r="I705" s="5"/>
      <c r="K705" s="6"/>
    </row>
    <row r="706" ht="15.75" customHeight="1">
      <c r="G706" s="5"/>
      <c r="H706" s="5"/>
      <c r="I706" s="5"/>
      <c r="K706" s="6"/>
    </row>
    <row r="707" ht="15.75" customHeight="1">
      <c r="G707" s="5"/>
      <c r="H707" s="5"/>
      <c r="I707" s="5"/>
      <c r="K707" s="6"/>
    </row>
    <row r="708" ht="15.75" customHeight="1">
      <c r="G708" s="5"/>
      <c r="H708" s="5"/>
      <c r="I708" s="5"/>
      <c r="K708" s="6"/>
    </row>
    <row r="709" ht="15.75" customHeight="1">
      <c r="G709" s="5"/>
      <c r="H709" s="5"/>
      <c r="I709" s="5"/>
      <c r="K709" s="6"/>
    </row>
    <row r="710" ht="15.75" customHeight="1">
      <c r="G710" s="5"/>
      <c r="H710" s="5"/>
      <c r="I710" s="5"/>
      <c r="K710" s="6"/>
    </row>
    <row r="711" ht="15.75" customHeight="1">
      <c r="G711" s="5"/>
      <c r="H711" s="5"/>
      <c r="I711" s="5"/>
      <c r="K711" s="6"/>
    </row>
    <row r="712" ht="15.75" customHeight="1">
      <c r="G712" s="5"/>
      <c r="H712" s="5"/>
      <c r="I712" s="5"/>
      <c r="K712" s="6"/>
    </row>
    <row r="713" ht="15.75" customHeight="1">
      <c r="G713" s="5"/>
      <c r="H713" s="5"/>
      <c r="I713" s="5"/>
      <c r="K713" s="6"/>
    </row>
    <row r="714" ht="15.75" customHeight="1">
      <c r="G714" s="5"/>
      <c r="H714" s="5"/>
      <c r="I714" s="5"/>
      <c r="K714" s="6"/>
    </row>
    <row r="715" ht="15.75" customHeight="1">
      <c r="G715" s="5"/>
      <c r="H715" s="5"/>
      <c r="I715" s="5"/>
      <c r="K715" s="6"/>
    </row>
    <row r="716" ht="15.75" customHeight="1">
      <c r="G716" s="5"/>
      <c r="H716" s="5"/>
      <c r="I716" s="5"/>
      <c r="K716" s="6"/>
    </row>
    <row r="717" ht="15.75" customHeight="1">
      <c r="G717" s="5"/>
      <c r="H717" s="5"/>
      <c r="I717" s="5"/>
      <c r="K717" s="6"/>
    </row>
    <row r="718" ht="15.75" customHeight="1">
      <c r="G718" s="5"/>
      <c r="H718" s="5"/>
      <c r="I718" s="5"/>
      <c r="K718" s="6"/>
    </row>
    <row r="719" ht="15.75" customHeight="1">
      <c r="G719" s="5"/>
      <c r="H719" s="5"/>
      <c r="I719" s="5"/>
      <c r="K719" s="6"/>
    </row>
    <row r="720" ht="15.75" customHeight="1">
      <c r="G720" s="5"/>
      <c r="H720" s="5"/>
      <c r="I720" s="5"/>
      <c r="K720" s="6"/>
    </row>
    <row r="721" ht="15.75" customHeight="1">
      <c r="G721" s="5"/>
      <c r="H721" s="5"/>
      <c r="I721" s="5"/>
      <c r="K721" s="6"/>
    </row>
    <row r="722" ht="15.75" customHeight="1">
      <c r="G722" s="5"/>
      <c r="H722" s="5"/>
      <c r="I722" s="5"/>
      <c r="K722" s="6"/>
    </row>
    <row r="723" ht="15.75" customHeight="1">
      <c r="G723" s="5"/>
      <c r="H723" s="5"/>
      <c r="I723" s="5"/>
      <c r="K723" s="6"/>
    </row>
    <row r="724" ht="15.75" customHeight="1">
      <c r="G724" s="5"/>
      <c r="H724" s="5"/>
      <c r="I724" s="5"/>
      <c r="K724" s="6"/>
    </row>
    <row r="725" ht="15.75" customHeight="1">
      <c r="G725" s="5"/>
      <c r="H725" s="5"/>
      <c r="I725" s="5"/>
      <c r="K725" s="6"/>
    </row>
    <row r="726" ht="15.75" customHeight="1">
      <c r="G726" s="5"/>
      <c r="H726" s="5"/>
      <c r="I726" s="5"/>
      <c r="K726" s="6"/>
    </row>
    <row r="727" ht="15.75" customHeight="1">
      <c r="G727" s="5"/>
      <c r="H727" s="5"/>
      <c r="I727" s="5"/>
      <c r="K727" s="6"/>
    </row>
    <row r="728" ht="15.75" customHeight="1">
      <c r="G728" s="5"/>
      <c r="H728" s="5"/>
      <c r="I728" s="5"/>
      <c r="K728" s="6"/>
    </row>
    <row r="729" ht="15.75" customHeight="1">
      <c r="G729" s="5"/>
      <c r="H729" s="5"/>
      <c r="I729" s="5"/>
      <c r="K729" s="6"/>
    </row>
    <row r="730" ht="15.75" customHeight="1">
      <c r="G730" s="5"/>
      <c r="H730" s="5"/>
      <c r="I730" s="5"/>
      <c r="K730" s="6"/>
    </row>
    <row r="731" ht="15.75" customHeight="1">
      <c r="G731" s="5"/>
      <c r="H731" s="5"/>
      <c r="I731" s="5"/>
      <c r="K731" s="6"/>
    </row>
    <row r="732" ht="15.75" customHeight="1">
      <c r="G732" s="5"/>
      <c r="H732" s="5"/>
      <c r="I732" s="5"/>
      <c r="K732" s="6"/>
    </row>
    <row r="733" ht="15.75" customHeight="1">
      <c r="G733" s="5"/>
      <c r="H733" s="5"/>
      <c r="I733" s="5"/>
      <c r="K733" s="6"/>
    </row>
    <row r="734" ht="15.75" customHeight="1">
      <c r="G734" s="5"/>
      <c r="H734" s="5"/>
      <c r="I734" s="5"/>
      <c r="K734" s="6"/>
    </row>
    <row r="735" ht="15.75" customHeight="1">
      <c r="G735" s="5"/>
      <c r="H735" s="5"/>
      <c r="I735" s="5"/>
      <c r="K735" s="6"/>
    </row>
    <row r="736" ht="15.75" customHeight="1">
      <c r="G736" s="5"/>
      <c r="H736" s="5"/>
      <c r="I736" s="5"/>
      <c r="K736" s="6"/>
    </row>
    <row r="737" ht="15.75" customHeight="1">
      <c r="G737" s="5"/>
      <c r="H737" s="5"/>
      <c r="I737" s="5"/>
      <c r="K737" s="6"/>
    </row>
    <row r="738" ht="15.75" customHeight="1">
      <c r="G738" s="5"/>
      <c r="H738" s="5"/>
      <c r="I738" s="5"/>
      <c r="K738" s="6"/>
    </row>
    <row r="739" ht="15.75" customHeight="1">
      <c r="G739" s="5"/>
      <c r="H739" s="5"/>
      <c r="I739" s="5"/>
      <c r="K739" s="6"/>
    </row>
    <row r="740" ht="15.75" customHeight="1">
      <c r="G740" s="5"/>
      <c r="H740" s="5"/>
      <c r="I740" s="5"/>
      <c r="K740" s="6"/>
    </row>
    <row r="741" ht="15.75" customHeight="1">
      <c r="G741" s="5"/>
      <c r="H741" s="5"/>
      <c r="I741" s="5"/>
      <c r="K741" s="6"/>
    </row>
    <row r="742" ht="15.75" customHeight="1">
      <c r="G742" s="5"/>
      <c r="H742" s="5"/>
      <c r="I742" s="5"/>
      <c r="K742" s="6"/>
    </row>
    <row r="743" ht="15.75" customHeight="1">
      <c r="G743" s="5"/>
      <c r="H743" s="5"/>
      <c r="I743" s="5"/>
      <c r="K743" s="6"/>
    </row>
    <row r="744" ht="15.75" customHeight="1">
      <c r="G744" s="5"/>
      <c r="H744" s="5"/>
      <c r="I744" s="5"/>
      <c r="K744" s="6"/>
    </row>
    <row r="745" ht="15.75" customHeight="1">
      <c r="G745" s="5"/>
      <c r="H745" s="5"/>
      <c r="I745" s="5"/>
      <c r="K745" s="6"/>
    </row>
    <row r="746" ht="15.75" customHeight="1">
      <c r="G746" s="5"/>
      <c r="H746" s="5"/>
      <c r="I746" s="5"/>
      <c r="K746" s="6"/>
    </row>
    <row r="747" ht="15.75" customHeight="1">
      <c r="G747" s="5"/>
      <c r="H747" s="5"/>
      <c r="I747" s="5"/>
      <c r="K747" s="6"/>
    </row>
    <row r="748" ht="15.75" customHeight="1">
      <c r="G748" s="5"/>
      <c r="H748" s="5"/>
      <c r="I748" s="5"/>
      <c r="K748" s="6"/>
    </row>
    <row r="749" ht="15.75" customHeight="1">
      <c r="G749" s="5"/>
      <c r="H749" s="5"/>
      <c r="I749" s="5"/>
      <c r="K749" s="6"/>
    </row>
    <row r="750" ht="15.75" customHeight="1">
      <c r="G750" s="5"/>
      <c r="H750" s="5"/>
      <c r="I750" s="5"/>
      <c r="K750" s="6"/>
    </row>
    <row r="751" ht="15.75" customHeight="1">
      <c r="G751" s="5"/>
      <c r="H751" s="5"/>
      <c r="I751" s="5"/>
      <c r="K751" s="6"/>
    </row>
    <row r="752" ht="15.75" customHeight="1">
      <c r="G752" s="5"/>
      <c r="H752" s="5"/>
      <c r="I752" s="5"/>
      <c r="K752" s="6"/>
    </row>
    <row r="753" ht="15.75" customHeight="1">
      <c r="G753" s="5"/>
      <c r="H753" s="5"/>
      <c r="I753" s="5"/>
      <c r="K753" s="6"/>
    </row>
    <row r="754" ht="15.75" customHeight="1">
      <c r="G754" s="5"/>
      <c r="H754" s="5"/>
      <c r="I754" s="5"/>
      <c r="K754" s="6"/>
    </row>
    <row r="755" ht="15.75" customHeight="1">
      <c r="G755" s="5"/>
      <c r="H755" s="5"/>
      <c r="I755" s="5"/>
      <c r="K755" s="6"/>
    </row>
    <row r="756" ht="15.75" customHeight="1">
      <c r="G756" s="5"/>
      <c r="H756" s="5"/>
      <c r="I756" s="5"/>
      <c r="K756" s="6"/>
    </row>
    <row r="757" ht="15.75" customHeight="1">
      <c r="G757" s="5"/>
      <c r="H757" s="5"/>
      <c r="I757" s="5"/>
      <c r="K757" s="6"/>
    </row>
    <row r="758" ht="15.75" customHeight="1">
      <c r="G758" s="5"/>
      <c r="H758" s="5"/>
      <c r="I758" s="5"/>
      <c r="K758" s="6"/>
    </row>
    <row r="759" ht="15.75" customHeight="1">
      <c r="G759" s="5"/>
      <c r="H759" s="5"/>
      <c r="I759" s="5"/>
      <c r="K759" s="6"/>
    </row>
    <row r="760" ht="15.75" customHeight="1">
      <c r="G760" s="5"/>
      <c r="H760" s="5"/>
      <c r="I760" s="5"/>
      <c r="K760" s="6"/>
    </row>
    <row r="761" ht="15.75" customHeight="1">
      <c r="G761" s="5"/>
      <c r="H761" s="5"/>
      <c r="I761" s="5"/>
      <c r="K761" s="6"/>
    </row>
    <row r="762" ht="15.75" customHeight="1">
      <c r="G762" s="5"/>
      <c r="H762" s="5"/>
      <c r="I762" s="5"/>
      <c r="K762" s="6"/>
    </row>
    <row r="763" ht="15.75" customHeight="1">
      <c r="G763" s="5"/>
      <c r="H763" s="5"/>
      <c r="I763" s="5"/>
      <c r="K763" s="6"/>
    </row>
    <row r="764" ht="15.75" customHeight="1">
      <c r="G764" s="5"/>
      <c r="H764" s="5"/>
      <c r="I764" s="5"/>
      <c r="K764" s="6"/>
    </row>
    <row r="765" ht="15.75" customHeight="1">
      <c r="G765" s="5"/>
      <c r="H765" s="5"/>
      <c r="I765" s="5"/>
      <c r="K765" s="6"/>
    </row>
    <row r="766" ht="15.75" customHeight="1">
      <c r="G766" s="5"/>
      <c r="H766" s="5"/>
      <c r="I766" s="5"/>
      <c r="K766" s="6"/>
    </row>
    <row r="767" ht="15.75" customHeight="1">
      <c r="G767" s="5"/>
      <c r="H767" s="5"/>
      <c r="I767" s="5"/>
      <c r="K767" s="6"/>
    </row>
    <row r="768" ht="15.75" customHeight="1">
      <c r="G768" s="5"/>
      <c r="H768" s="5"/>
      <c r="I768" s="5"/>
      <c r="K768" s="6"/>
    </row>
    <row r="769" ht="15.75" customHeight="1">
      <c r="G769" s="5"/>
      <c r="H769" s="5"/>
      <c r="I769" s="5"/>
      <c r="K769" s="6"/>
    </row>
    <row r="770" ht="15.75" customHeight="1">
      <c r="G770" s="5"/>
      <c r="H770" s="5"/>
      <c r="I770" s="5"/>
      <c r="K770" s="6"/>
    </row>
    <row r="771" ht="15.75" customHeight="1">
      <c r="G771" s="5"/>
      <c r="H771" s="5"/>
      <c r="I771" s="5"/>
      <c r="K771" s="6"/>
    </row>
    <row r="772" ht="15.75" customHeight="1">
      <c r="G772" s="5"/>
      <c r="H772" s="5"/>
      <c r="I772" s="5"/>
      <c r="K772" s="6"/>
    </row>
    <row r="773" ht="15.75" customHeight="1">
      <c r="G773" s="5"/>
      <c r="H773" s="5"/>
      <c r="I773" s="5"/>
      <c r="K773" s="6"/>
    </row>
    <row r="774" ht="15.75" customHeight="1">
      <c r="G774" s="5"/>
      <c r="H774" s="5"/>
      <c r="I774" s="5"/>
      <c r="K774" s="6"/>
    </row>
    <row r="775" ht="15.75" customHeight="1">
      <c r="G775" s="5"/>
      <c r="H775" s="5"/>
      <c r="I775" s="5"/>
      <c r="K775" s="6"/>
    </row>
    <row r="776" ht="15.75" customHeight="1">
      <c r="G776" s="5"/>
      <c r="H776" s="5"/>
      <c r="I776" s="5"/>
      <c r="K776" s="6"/>
    </row>
    <row r="777" ht="15.75" customHeight="1">
      <c r="G777" s="5"/>
      <c r="H777" s="5"/>
      <c r="I777" s="5"/>
      <c r="K777" s="6"/>
    </row>
    <row r="778" ht="15.75" customHeight="1">
      <c r="G778" s="5"/>
      <c r="H778" s="5"/>
      <c r="I778" s="5"/>
      <c r="K778" s="6"/>
    </row>
    <row r="779" ht="15.75" customHeight="1">
      <c r="G779" s="5"/>
      <c r="H779" s="5"/>
      <c r="I779" s="5"/>
      <c r="K779" s="6"/>
    </row>
    <row r="780" ht="15.75" customHeight="1">
      <c r="G780" s="5"/>
      <c r="H780" s="5"/>
      <c r="I780" s="5"/>
      <c r="K780" s="6"/>
    </row>
    <row r="781" ht="15.75" customHeight="1">
      <c r="G781" s="5"/>
      <c r="H781" s="5"/>
      <c r="I781" s="5"/>
      <c r="K781" s="6"/>
    </row>
    <row r="782" ht="15.75" customHeight="1">
      <c r="G782" s="5"/>
      <c r="H782" s="5"/>
      <c r="I782" s="5"/>
      <c r="K782" s="6"/>
    </row>
    <row r="783" ht="15.75" customHeight="1">
      <c r="G783" s="5"/>
      <c r="H783" s="5"/>
      <c r="I783" s="5"/>
      <c r="K783" s="6"/>
    </row>
    <row r="784" ht="15.75" customHeight="1">
      <c r="G784" s="5"/>
      <c r="H784" s="5"/>
      <c r="I784" s="5"/>
      <c r="K784" s="6"/>
    </row>
    <row r="785" ht="15.75" customHeight="1">
      <c r="G785" s="5"/>
      <c r="H785" s="5"/>
      <c r="I785" s="5"/>
      <c r="K785" s="6"/>
    </row>
    <row r="786" ht="15.75" customHeight="1">
      <c r="G786" s="5"/>
      <c r="H786" s="5"/>
      <c r="I786" s="5"/>
      <c r="K786" s="6"/>
    </row>
    <row r="787" ht="15.75" customHeight="1">
      <c r="G787" s="5"/>
      <c r="H787" s="5"/>
      <c r="I787" s="5"/>
      <c r="K787" s="6"/>
    </row>
    <row r="788" ht="15.75" customHeight="1">
      <c r="G788" s="5"/>
      <c r="H788" s="5"/>
      <c r="I788" s="5"/>
      <c r="K788" s="6"/>
    </row>
    <row r="789" ht="15.75" customHeight="1">
      <c r="G789" s="5"/>
      <c r="H789" s="5"/>
      <c r="I789" s="5"/>
      <c r="K789" s="6"/>
    </row>
    <row r="790" ht="15.75" customHeight="1">
      <c r="G790" s="5"/>
      <c r="H790" s="5"/>
      <c r="I790" s="5"/>
      <c r="K790" s="6"/>
    </row>
    <row r="791" ht="15.75" customHeight="1">
      <c r="G791" s="5"/>
      <c r="H791" s="5"/>
      <c r="I791" s="5"/>
      <c r="K791" s="6"/>
    </row>
    <row r="792" ht="15.75" customHeight="1">
      <c r="G792" s="5"/>
      <c r="H792" s="5"/>
      <c r="I792" s="5"/>
      <c r="K792" s="6"/>
    </row>
    <row r="793" ht="15.75" customHeight="1">
      <c r="G793" s="5"/>
      <c r="H793" s="5"/>
      <c r="I793" s="5"/>
      <c r="K793" s="6"/>
    </row>
    <row r="794" ht="15.75" customHeight="1">
      <c r="G794" s="5"/>
      <c r="H794" s="5"/>
      <c r="I794" s="5"/>
      <c r="K794" s="6"/>
    </row>
    <row r="795" ht="15.75" customHeight="1">
      <c r="G795" s="5"/>
      <c r="H795" s="5"/>
      <c r="I795" s="5"/>
      <c r="K795" s="6"/>
    </row>
    <row r="796" ht="15.75" customHeight="1">
      <c r="G796" s="5"/>
      <c r="H796" s="5"/>
      <c r="I796" s="5"/>
      <c r="K796" s="6"/>
    </row>
    <row r="797" ht="15.75" customHeight="1">
      <c r="G797" s="5"/>
      <c r="H797" s="5"/>
      <c r="I797" s="5"/>
      <c r="K797" s="6"/>
    </row>
    <row r="798" ht="15.75" customHeight="1">
      <c r="G798" s="5"/>
      <c r="H798" s="5"/>
      <c r="I798" s="5"/>
      <c r="K798" s="6"/>
    </row>
    <row r="799" ht="15.75" customHeight="1">
      <c r="G799" s="5"/>
      <c r="H799" s="5"/>
      <c r="I799" s="5"/>
      <c r="K799" s="6"/>
    </row>
    <row r="800" ht="15.75" customHeight="1">
      <c r="G800" s="5"/>
      <c r="H800" s="5"/>
      <c r="I800" s="5"/>
      <c r="K800" s="6"/>
    </row>
    <row r="801" ht="15.75" customHeight="1">
      <c r="G801" s="5"/>
      <c r="H801" s="5"/>
      <c r="I801" s="5"/>
      <c r="K801" s="6"/>
    </row>
    <row r="802" ht="15.75" customHeight="1">
      <c r="G802" s="5"/>
      <c r="H802" s="5"/>
      <c r="I802" s="5"/>
      <c r="K802" s="6"/>
    </row>
    <row r="803" ht="15.75" customHeight="1">
      <c r="G803" s="5"/>
      <c r="H803" s="5"/>
      <c r="I803" s="5"/>
      <c r="K803" s="6"/>
    </row>
    <row r="804" ht="15.75" customHeight="1">
      <c r="G804" s="5"/>
      <c r="H804" s="5"/>
      <c r="I804" s="5"/>
      <c r="K804" s="6"/>
    </row>
    <row r="805" ht="15.75" customHeight="1">
      <c r="G805" s="5"/>
      <c r="H805" s="5"/>
      <c r="I805" s="5"/>
      <c r="K805" s="6"/>
    </row>
    <row r="806" ht="15.75" customHeight="1">
      <c r="G806" s="5"/>
      <c r="H806" s="5"/>
      <c r="I806" s="5"/>
      <c r="K806" s="6"/>
    </row>
    <row r="807" ht="15.75" customHeight="1">
      <c r="G807" s="5"/>
      <c r="H807" s="5"/>
      <c r="I807" s="5"/>
      <c r="K807" s="6"/>
    </row>
    <row r="808" ht="15.75" customHeight="1">
      <c r="G808" s="5"/>
      <c r="H808" s="5"/>
      <c r="I808" s="5"/>
      <c r="K808" s="6"/>
    </row>
    <row r="809" ht="15.75" customHeight="1">
      <c r="G809" s="5"/>
      <c r="H809" s="5"/>
      <c r="I809" s="5"/>
      <c r="K809" s="6"/>
    </row>
    <row r="810" ht="15.75" customHeight="1">
      <c r="G810" s="5"/>
      <c r="H810" s="5"/>
      <c r="I810" s="5"/>
      <c r="K810" s="6"/>
    </row>
    <row r="811" ht="15.75" customHeight="1">
      <c r="G811" s="5"/>
      <c r="H811" s="5"/>
      <c r="I811" s="5"/>
      <c r="K811" s="6"/>
    </row>
    <row r="812" ht="15.75" customHeight="1">
      <c r="G812" s="5"/>
      <c r="H812" s="5"/>
      <c r="I812" s="5"/>
      <c r="K812" s="6"/>
    </row>
    <row r="813" ht="15.75" customHeight="1">
      <c r="G813" s="5"/>
      <c r="H813" s="5"/>
      <c r="I813" s="5"/>
      <c r="K813" s="6"/>
    </row>
    <row r="814" ht="15.75" customHeight="1">
      <c r="G814" s="5"/>
      <c r="H814" s="5"/>
      <c r="I814" s="5"/>
      <c r="K814" s="6"/>
    </row>
    <row r="815" ht="15.75" customHeight="1">
      <c r="G815" s="5"/>
      <c r="H815" s="5"/>
      <c r="I815" s="5"/>
      <c r="K815" s="6"/>
    </row>
    <row r="816" ht="15.75" customHeight="1">
      <c r="G816" s="5"/>
      <c r="H816" s="5"/>
      <c r="I816" s="5"/>
      <c r="K816" s="6"/>
    </row>
    <row r="817" ht="15.75" customHeight="1">
      <c r="G817" s="5"/>
      <c r="H817" s="5"/>
      <c r="I817" s="5"/>
      <c r="K817" s="6"/>
    </row>
    <row r="818" ht="15.75" customHeight="1">
      <c r="G818" s="5"/>
      <c r="H818" s="5"/>
      <c r="I818" s="5"/>
      <c r="K818" s="6"/>
    </row>
    <row r="819" ht="15.75" customHeight="1">
      <c r="G819" s="5"/>
      <c r="H819" s="5"/>
      <c r="I819" s="5"/>
      <c r="K819" s="6"/>
    </row>
    <row r="820" ht="15.75" customHeight="1">
      <c r="G820" s="5"/>
      <c r="H820" s="5"/>
      <c r="I820" s="5"/>
      <c r="K820" s="6"/>
    </row>
    <row r="821" ht="15.75" customHeight="1">
      <c r="G821" s="5"/>
      <c r="H821" s="5"/>
      <c r="I821" s="5"/>
      <c r="K821" s="6"/>
    </row>
    <row r="822" ht="15.75" customHeight="1">
      <c r="G822" s="5"/>
      <c r="H822" s="5"/>
      <c r="I822" s="5"/>
      <c r="K822" s="6"/>
    </row>
    <row r="823" ht="15.75" customHeight="1">
      <c r="G823" s="5"/>
      <c r="H823" s="5"/>
      <c r="I823" s="5"/>
      <c r="K823" s="6"/>
    </row>
    <row r="824" ht="15.75" customHeight="1">
      <c r="G824" s="5"/>
      <c r="H824" s="5"/>
      <c r="I824" s="5"/>
      <c r="K824" s="6"/>
    </row>
    <row r="825" ht="15.75" customHeight="1">
      <c r="G825" s="5"/>
      <c r="H825" s="5"/>
      <c r="I825" s="5"/>
      <c r="K825" s="6"/>
    </row>
    <row r="826" ht="15.75" customHeight="1">
      <c r="G826" s="5"/>
      <c r="H826" s="5"/>
      <c r="I826" s="5"/>
      <c r="K826" s="6"/>
    </row>
    <row r="827" ht="15.75" customHeight="1">
      <c r="G827" s="5"/>
      <c r="H827" s="5"/>
      <c r="I827" s="5"/>
      <c r="K827" s="6"/>
    </row>
    <row r="828" ht="15.75" customHeight="1">
      <c r="G828" s="5"/>
      <c r="H828" s="5"/>
      <c r="I828" s="5"/>
      <c r="K828" s="6"/>
    </row>
    <row r="829" ht="15.75" customHeight="1">
      <c r="G829" s="5"/>
      <c r="H829" s="5"/>
      <c r="I829" s="5"/>
      <c r="K829" s="6"/>
    </row>
    <row r="830" ht="15.75" customHeight="1">
      <c r="G830" s="5"/>
      <c r="H830" s="5"/>
      <c r="I830" s="5"/>
      <c r="K830" s="6"/>
    </row>
    <row r="831" ht="15.75" customHeight="1">
      <c r="G831" s="5"/>
      <c r="H831" s="5"/>
      <c r="I831" s="5"/>
      <c r="K831" s="6"/>
    </row>
    <row r="832" ht="15.75" customHeight="1">
      <c r="G832" s="5"/>
      <c r="H832" s="5"/>
      <c r="I832" s="5"/>
      <c r="K832" s="6"/>
    </row>
    <row r="833" ht="15.75" customHeight="1">
      <c r="G833" s="5"/>
      <c r="H833" s="5"/>
      <c r="I833" s="5"/>
      <c r="K833" s="6"/>
    </row>
    <row r="834" ht="15.75" customHeight="1">
      <c r="G834" s="5"/>
      <c r="H834" s="5"/>
      <c r="I834" s="5"/>
      <c r="K834" s="6"/>
    </row>
    <row r="835" ht="15.75" customHeight="1">
      <c r="G835" s="5"/>
      <c r="H835" s="5"/>
      <c r="I835" s="5"/>
      <c r="K835" s="6"/>
    </row>
    <row r="836" ht="15.75" customHeight="1">
      <c r="G836" s="5"/>
      <c r="H836" s="5"/>
      <c r="I836" s="5"/>
      <c r="K836" s="6"/>
    </row>
    <row r="837" ht="15.75" customHeight="1">
      <c r="G837" s="5"/>
      <c r="H837" s="5"/>
      <c r="I837" s="5"/>
      <c r="K837" s="6"/>
    </row>
    <row r="838" ht="15.75" customHeight="1">
      <c r="G838" s="5"/>
      <c r="H838" s="5"/>
      <c r="I838" s="5"/>
      <c r="K838" s="6"/>
    </row>
    <row r="839" ht="15.75" customHeight="1">
      <c r="G839" s="5"/>
      <c r="H839" s="5"/>
      <c r="I839" s="5"/>
      <c r="K839" s="6"/>
    </row>
    <row r="840" ht="15.75" customHeight="1">
      <c r="G840" s="5"/>
      <c r="H840" s="5"/>
      <c r="I840" s="5"/>
      <c r="K840" s="6"/>
    </row>
    <row r="841" ht="15.75" customHeight="1">
      <c r="G841" s="5"/>
      <c r="H841" s="5"/>
      <c r="I841" s="5"/>
      <c r="K841" s="6"/>
    </row>
    <row r="842" ht="15.75" customHeight="1">
      <c r="G842" s="5"/>
      <c r="H842" s="5"/>
      <c r="I842" s="5"/>
      <c r="K842" s="6"/>
    </row>
    <row r="843" ht="15.75" customHeight="1">
      <c r="G843" s="5"/>
      <c r="H843" s="5"/>
      <c r="I843" s="5"/>
      <c r="K843" s="6"/>
    </row>
    <row r="844" ht="15.75" customHeight="1">
      <c r="G844" s="5"/>
      <c r="H844" s="5"/>
      <c r="I844" s="5"/>
      <c r="K844" s="6"/>
    </row>
    <row r="845" ht="15.75" customHeight="1">
      <c r="G845" s="5"/>
      <c r="H845" s="5"/>
      <c r="I845" s="5"/>
      <c r="K845" s="6"/>
    </row>
    <row r="846" ht="15.75" customHeight="1">
      <c r="G846" s="5"/>
      <c r="H846" s="5"/>
      <c r="I846" s="5"/>
      <c r="K846" s="6"/>
    </row>
    <row r="847" ht="15.75" customHeight="1">
      <c r="G847" s="5"/>
      <c r="H847" s="5"/>
      <c r="I847" s="5"/>
      <c r="K847" s="6"/>
    </row>
    <row r="848" ht="15.75" customHeight="1">
      <c r="G848" s="5"/>
      <c r="H848" s="5"/>
      <c r="I848" s="5"/>
      <c r="K848" s="6"/>
    </row>
    <row r="849" ht="15.75" customHeight="1">
      <c r="G849" s="5"/>
      <c r="H849" s="5"/>
      <c r="I849" s="5"/>
      <c r="K849" s="6"/>
    </row>
    <row r="850" ht="15.75" customHeight="1">
      <c r="G850" s="5"/>
      <c r="H850" s="5"/>
      <c r="I850" s="5"/>
      <c r="K850" s="6"/>
    </row>
    <row r="851" ht="15.75" customHeight="1">
      <c r="G851" s="5"/>
      <c r="H851" s="5"/>
      <c r="I851" s="5"/>
      <c r="K851" s="6"/>
    </row>
    <row r="852" ht="15.75" customHeight="1">
      <c r="G852" s="5"/>
      <c r="H852" s="5"/>
      <c r="I852" s="5"/>
      <c r="K852" s="6"/>
    </row>
    <row r="853" ht="15.75" customHeight="1">
      <c r="G853" s="5"/>
      <c r="H853" s="5"/>
      <c r="I853" s="5"/>
      <c r="K853" s="6"/>
    </row>
    <row r="854" ht="15.75" customHeight="1">
      <c r="G854" s="5"/>
      <c r="H854" s="5"/>
      <c r="I854" s="5"/>
      <c r="K854" s="6"/>
    </row>
    <row r="855" ht="15.75" customHeight="1">
      <c r="G855" s="5"/>
      <c r="H855" s="5"/>
      <c r="I855" s="5"/>
      <c r="K855" s="6"/>
    </row>
    <row r="856" ht="15.75" customHeight="1">
      <c r="G856" s="5"/>
      <c r="H856" s="5"/>
      <c r="I856" s="5"/>
      <c r="K856" s="6"/>
    </row>
    <row r="857" ht="15.75" customHeight="1">
      <c r="G857" s="5"/>
      <c r="H857" s="5"/>
      <c r="I857" s="5"/>
      <c r="K857" s="6"/>
    </row>
    <row r="858" ht="15.75" customHeight="1">
      <c r="G858" s="5"/>
      <c r="H858" s="5"/>
      <c r="I858" s="5"/>
      <c r="K858" s="6"/>
    </row>
    <row r="859" ht="15.75" customHeight="1">
      <c r="G859" s="5"/>
      <c r="H859" s="5"/>
      <c r="I859" s="5"/>
      <c r="K859" s="6"/>
    </row>
    <row r="860" ht="15.75" customHeight="1">
      <c r="G860" s="5"/>
      <c r="H860" s="5"/>
      <c r="I860" s="5"/>
      <c r="K860" s="6"/>
    </row>
    <row r="861" ht="15.75" customHeight="1">
      <c r="G861" s="5"/>
      <c r="H861" s="5"/>
      <c r="I861" s="5"/>
      <c r="K861" s="6"/>
    </row>
    <row r="862" ht="15.75" customHeight="1">
      <c r="G862" s="5"/>
      <c r="H862" s="5"/>
      <c r="I862" s="5"/>
      <c r="K862" s="6"/>
    </row>
    <row r="863" ht="15.75" customHeight="1">
      <c r="G863" s="5"/>
      <c r="H863" s="5"/>
      <c r="I863" s="5"/>
      <c r="K863" s="6"/>
    </row>
    <row r="864" ht="15.75" customHeight="1">
      <c r="G864" s="5"/>
      <c r="H864" s="5"/>
      <c r="I864" s="5"/>
      <c r="K864" s="6"/>
    </row>
    <row r="865" ht="15.75" customHeight="1">
      <c r="G865" s="5"/>
      <c r="H865" s="5"/>
      <c r="I865" s="5"/>
      <c r="K865" s="6"/>
    </row>
    <row r="866" ht="15.75" customHeight="1">
      <c r="G866" s="5"/>
      <c r="H866" s="5"/>
      <c r="I866" s="5"/>
      <c r="K866" s="6"/>
    </row>
    <row r="867" ht="15.75" customHeight="1">
      <c r="G867" s="5"/>
      <c r="H867" s="5"/>
      <c r="I867" s="5"/>
      <c r="K867" s="6"/>
    </row>
    <row r="868" ht="15.75" customHeight="1">
      <c r="G868" s="5"/>
      <c r="H868" s="5"/>
      <c r="I868" s="5"/>
      <c r="K868" s="6"/>
    </row>
    <row r="869" ht="15.75" customHeight="1">
      <c r="G869" s="5"/>
      <c r="H869" s="5"/>
      <c r="I869" s="5"/>
      <c r="K869" s="6"/>
    </row>
    <row r="870" ht="15.75" customHeight="1">
      <c r="G870" s="5"/>
      <c r="H870" s="5"/>
      <c r="I870" s="5"/>
      <c r="K870" s="6"/>
    </row>
    <row r="871" ht="15.75" customHeight="1">
      <c r="G871" s="5"/>
      <c r="H871" s="5"/>
      <c r="I871" s="5"/>
      <c r="K871" s="6"/>
    </row>
    <row r="872" ht="15.75" customHeight="1">
      <c r="G872" s="5"/>
      <c r="H872" s="5"/>
      <c r="I872" s="5"/>
      <c r="K872" s="6"/>
    </row>
    <row r="873" ht="15.75" customHeight="1">
      <c r="G873" s="5"/>
      <c r="H873" s="5"/>
      <c r="I873" s="5"/>
      <c r="K873" s="6"/>
    </row>
    <row r="874" ht="15.75" customHeight="1">
      <c r="G874" s="5"/>
      <c r="H874" s="5"/>
      <c r="I874" s="5"/>
      <c r="K874" s="6"/>
    </row>
    <row r="875" ht="15.75" customHeight="1">
      <c r="G875" s="5"/>
      <c r="H875" s="5"/>
      <c r="I875" s="5"/>
      <c r="K875" s="6"/>
    </row>
    <row r="876" ht="15.75" customHeight="1">
      <c r="G876" s="5"/>
      <c r="H876" s="5"/>
      <c r="I876" s="5"/>
      <c r="K876" s="6"/>
    </row>
    <row r="877" ht="15.75" customHeight="1">
      <c r="G877" s="5"/>
      <c r="H877" s="5"/>
      <c r="I877" s="5"/>
      <c r="K877" s="6"/>
    </row>
    <row r="878" ht="15.75" customHeight="1">
      <c r="G878" s="5"/>
      <c r="H878" s="5"/>
      <c r="I878" s="5"/>
      <c r="K878" s="6"/>
    </row>
    <row r="879" ht="15.75" customHeight="1">
      <c r="G879" s="5"/>
      <c r="H879" s="5"/>
      <c r="I879" s="5"/>
      <c r="K879" s="6"/>
    </row>
    <row r="880" ht="15.75" customHeight="1">
      <c r="G880" s="5"/>
      <c r="H880" s="5"/>
      <c r="I880" s="5"/>
      <c r="K880" s="6"/>
    </row>
    <row r="881" ht="15.75" customHeight="1">
      <c r="G881" s="5"/>
      <c r="H881" s="5"/>
      <c r="I881" s="5"/>
      <c r="K881" s="6"/>
    </row>
    <row r="882" ht="15.75" customHeight="1">
      <c r="G882" s="5"/>
      <c r="H882" s="5"/>
      <c r="I882" s="5"/>
      <c r="K882" s="6"/>
    </row>
    <row r="883" ht="15.75" customHeight="1">
      <c r="G883" s="5"/>
      <c r="H883" s="5"/>
      <c r="I883" s="5"/>
      <c r="K883" s="6"/>
    </row>
    <row r="884" ht="15.75" customHeight="1">
      <c r="G884" s="5"/>
      <c r="H884" s="5"/>
      <c r="I884" s="5"/>
      <c r="K884" s="6"/>
    </row>
    <row r="885" ht="15.75" customHeight="1">
      <c r="G885" s="5"/>
      <c r="H885" s="5"/>
      <c r="I885" s="5"/>
      <c r="K885" s="6"/>
    </row>
    <row r="886" ht="15.75" customHeight="1">
      <c r="G886" s="5"/>
      <c r="H886" s="5"/>
      <c r="I886" s="5"/>
      <c r="K886" s="6"/>
    </row>
    <row r="887" ht="15.75" customHeight="1">
      <c r="G887" s="5"/>
      <c r="H887" s="5"/>
      <c r="I887" s="5"/>
      <c r="K887" s="6"/>
    </row>
    <row r="888" ht="15.75" customHeight="1">
      <c r="G888" s="5"/>
      <c r="H888" s="5"/>
      <c r="I888" s="5"/>
      <c r="K888" s="6"/>
    </row>
    <row r="889" ht="15.75" customHeight="1">
      <c r="G889" s="5"/>
      <c r="H889" s="5"/>
      <c r="I889" s="5"/>
      <c r="K889" s="6"/>
    </row>
    <row r="890" ht="15.75" customHeight="1">
      <c r="G890" s="5"/>
      <c r="H890" s="5"/>
      <c r="I890" s="5"/>
      <c r="K890" s="6"/>
    </row>
    <row r="891" ht="15.75" customHeight="1">
      <c r="G891" s="5"/>
      <c r="H891" s="5"/>
      <c r="I891" s="5"/>
      <c r="K891" s="6"/>
    </row>
    <row r="892" ht="15.75" customHeight="1">
      <c r="G892" s="5"/>
      <c r="H892" s="5"/>
      <c r="I892" s="5"/>
      <c r="K892" s="6"/>
    </row>
    <row r="893" ht="15.75" customHeight="1">
      <c r="G893" s="5"/>
      <c r="H893" s="5"/>
      <c r="I893" s="5"/>
      <c r="K893" s="6"/>
    </row>
    <row r="894" ht="15.75" customHeight="1">
      <c r="G894" s="5"/>
      <c r="H894" s="5"/>
      <c r="I894" s="5"/>
      <c r="K894" s="6"/>
    </row>
    <row r="895" ht="15.75" customHeight="1">
      <c r="G895" s="5"/>
      <c r="H895" s="5"/>
      <c r="I895" s="5"/>
      <c r="K895" s="6"/>
    </row>
    <row r="896" ht="15.75" customHeight="1">
      <c r="G896" s="5"/>
      <c r="H896" s="5"/>
      <c r="I896" s="5"/>
      <c r="K896" s="6"/>
    </row>
    <row r="897" ht="15.75" customHeight="1">
      <c r="G897" s="5"/>
      <c r="H897" s="5"/>
      <c r="I897" s="5"/>
      <c r="K897" s="6"/>
    </row>
    <row r="898" ht="15.75" customHeight="1">
      <c r="G898" s="5"/>
      <c r="H898" s="5"/>
      <c r="I898" s="5"/>
      <c r="K898" s="6"/>
    </row>
    <row r="899" ht="15.75" customHeight="1">
      <c r="G899" s="5"/>
      <c r="H899" s="5"/>
      <c r="I899" s="5"/>
      <c r="K899" s="6"/>
    </row>
    <row r="900" ht="15.75" customHeight="1">
      <c r="G900" s="5"/>
      <c r="H900" s="5"/>
      <c r="I900" s="5"/>
      <c r="K900" s="6"/>
    </row>
    <row r="901" ht="15.75" customHeight="1">
      <c r="G901" s="5"/>
      <c r="H901" s="5"/>
      <c r="I901" s="5"/>
      <c r="K901" s="6"/>
    </row>
    <row r="902" ht="15.75" customHeight="1">
      <c r="G902" s="5"/>
      <c r="H902" s="5"/>
      <c r="I902" s="5"/>
      <c r="K902" s="6"/>
    </row>
    <row r="903" ht="15.75" customHeight="1">
      <c r="G903" s="5"/>
      <c r="H903" s="5"/>
      <c r="I903" s="5"/>
      <c r="K903" s="6"/>
    </row>
    <row r="904" ht="15.75" customHeight="1">
      <c r="G904" s="5"/>
      <c r="H904" s="5"/>
      <c r="I904" s="5"/>
      <c r="K904" s="6"/>
    </row>
    <row r="905" ht="15.75" customHeight="1">
      <c r="G905" s="5"/>
      <c r="H905" s="5"/>
      <c r="I905" s="5"/>
      <c r="K905" s="6"/>
    </row>
    <row r="906" ht="15.75" customHeight="1">
      <c r="G906" s="5"/>
      <c r="H906" s="5"/>
      <c r="I906" s="5"/>
      <c r="K906" s="6"/>
    </row>
    <row r="907" ht="15.75" customHeight="1">
      <c r="G907" s="5"/>
      <c r="H907" s="5"/>
      <c r="I907" s="5"/>
      <c r="K907" s="6"/>
    </row>
    <row r="908" ht="15.75" customHeight="1">
      <c r="G908" s="5"/>
      <c r="H908" s="5"/>
      <c r="I908" s="5"/>
      <c r="K908" s="6"/>
    </row>
    <row r="909" ht="15.75" customHeight="1">
      <c r="G909" s="5"/>
      <c r="H909" s="5"/>
      <c r="I909" s="5"/>
      <c r="K909" s="6"/>
    </row>
    <row r="910" ht="15.75" customHeight="1">
      <c r="G910" s="5"/>
      <c r="H910" s="5"/>
      <c r="I910" s="5"/>
      <c r="K910" s="6"/>
    </row>
    <row r="911" ht="15.75" customHeight="1">
      <c r="G911" s="5"/>
      <c r="H911" s="5"/>
      <c r="I911" s="5"/>
      <c r="K911" s="6"/>
    </row>
    <row r="912" ht="15.75" customHeight="1">
      <c r="G912" s="5"/>
      <c r="H912" s="5"/>
      <c r="I912" s="5"/>
      <c r="K912" s="6"/>
    </row>
    <row r="913" ht="15.75" customHeight="1">
      <c r="G913" s="5"/>
      <c r="H913" s="5"/>
      <c r="I913" s="5"/>
      <c r="K913" s="6"/>
    </row>
    <row r="914" ht="15.75" customHeight="1">
      <c r="G914" s="5"/>
      <c r="H914" s="5"/>
      <c r="I914" s="5"/>
      <c r="K914" s="6"/>
    </row>
    <row r="915" ht="15.75" customHeight="1">
      <c r="G915" s="5"/>
      <c r="H915" s="5"/>
      <c r="I915" s="5"/>
      <c r="K915" s="6"/>
    </row>
    <row r="916" ht="15.75" customHeight="1">
      <c r="G916" s="5"/>
      <c r="H916" s="5"/>
      <c r="I916" s="5"/>
      <c r="K916" s="6"/>
    </row>
    <row r="917" ht="15.75" customHeight="1">
      <c r="G917" s="5"/>
      <c r="H917" s="5"/>
      <c r="I917" s="5"/>
      <c r="K917" s="6"/>
    </row>
    <row r="918" ht="15.75" customHeight="1">
      <c r="G918" s="5"/>
      <c r="H918" s="5"/>
      <c r="I918" s="5"/>
      <c r="K918" s="6"/>
    </row>
    <row r="919" ht="15.75" customHeight="1">
      <c r="G919" s="5"/>
      <c r="H919" s="5"/>
      <c r="I919" s="5"/>
      <c r="K919" s="6"/>
    </row>
    <row r="920" ht="15.75" customHeight="1">
      <c r="G920" s="5"/>
      <c r="H920" s="5"/>
      <c r="I920" s="5"/>
      <c r="K920" s="6"/>
    </row>
    <row r="921" ht="15.75" customHeight="1">
      <c r="G921" s="5"/>
      <c r="H921" s="5"/>
      <c r="I921" s="5"/>
      <c r="K921" s="6"/>
    </row>
    <row r="922" ht="15.75" customHeight="1">
      <c r="G922" s="5"/>
      <c r="H922" s="5"/>
      <c r="I922" s="5"/>
      <c r="K922" s="6"/>
    </row>
    <row r="923" ht="15.75" customHeight="1">
      <c r="G923" s="5"/>
      <c r="H923" s="5"/>
      <c r="I923" s="5"/>
      <c r="K923" s="6"/>
    </row>
    <row r="924" ht="15.75" customHeight="1">
      <c r="G924" s="5"/>
      <c r="H924" s="5"/>
      <c r="I924" s="5"/>
      <c r="K924" s="6"/>
    </row>
    <row r="925" ht="15.75" customHeight="1">
      <c r="G925" s="5"/>
      <c r="H925" s="5"/>
      <c r="I925" s="5"/>
      <c r="K925" s="6"/>
    </row>
    <row r="926" ht="15.75" customHeight="1">
      <c r="G926" s="5"/>
      <c r="H926" s="5"/>
      <c r="I926" s="5"/>
      <c r="K926" s="6"/>
    </row>
    <row r="927" ht="15.75" customHeight="1">
      <c r="G927" s="5"/>
      <c r="H927" s="5"/>
      <c r="I927" s="5"/>
      <c r="K927" s="6"/>
    </row>
    <row r="928" ht="15.75" customHeight="1">
      <c r="G928" s="5"/>
      <c r="H928" s="5"/>
      <c r="I928" s="5"/>
      <c r="K928" s="6"/>
    </row>
    <row r="929" ht="15.75" customHeight="1">
      <c r="G929" s="5"/>
      <c r="H929" s="5"/>
      <c r="I929" s="5"/>
      <c r="K929" s="6"/>
    </row>
    <row r="930" ht="15.75" customHeight="1">
      <c r="G930" s="5"/>
      <c r="H930" s="5"/>
      <c r="I930" s="5"/>
      <c r="K930" s="6"/>
    </row>
    <row r="931" ht="15.75" customHeight="1">
      <c r="G931" s="5"/>
      <c r="H931" s="5"/>
      <c r="I931" s="5"/>
      <c r="K931" s="6"/>
    </row>
    <row r="932" ht="15.75" customHeight="1">
      <c r="G932" s="5"/>
      <c r="H932" s="5"/>
      <c r="I932" s="5"/>
      <c r="K932" s="6"/>
    </row>
    <row r="933" ht="15.75" customHeight="1">
      <c r="G933" s="5"/>
      <c r="H933" s="5"/>
      <c r="I933" s="5"/>
      <c r="K933" s="6"/>
    </row>
    <row r="934" ht="15.75" customHeight="1">
      <c r="G934" s="5"/>
      <c r="H934" s="5"/>
      <c r="I934" s="5"/>
      <c r="K934" s="6"/>
    </row>
    <row r="935" ht="15.75" customHeight="1">
      <c r="G935" s="5"/>
      <c r="H935" s="5"/>
      <c r="I935" s="5"/>
      <c r="K935" s="6"/>
    </row>
    <row r="936" ht="15.75" customHeight="1">
      <c r="G936" s="5"/>
      <c r="H936" s="5"/>
      <c r="I936" s="5"/>
      <c r="K936" s="6"/>
    </row>
    <row r="937" ht="15.75" customHeight="1">
      <c r="G937" s="5"/>
      <c r="H937" s="5"/>
      <c r="I937" s="5"/>
      <c r="K937" s="6"/>
    </row>
    <row r="938" ht="15.75" customHeight="1">
      <c r="G938" s="5"/>
      <c r="H938" s="5"/>
      <c r="I938" s="5"/>
      <c r="K938" s="6"/>
    </row>
    <row r="939" ht="15.75" customHeight="1">
      <c r="G939" s="5"/>
      <c r="H939" s="5"/>
      <c r="I939" s="5"/>
      <c r="K939" s="6"/>
    </row>
    <row r="940" ht="15.75" customHeight="1">
      <c r="G940" s="5"/>
      <c r="H940" s="5"/>
      <c r="I940" s="5"/>
      <c r="K940" s="6"/>
    </row>
    <row r="941" ht="15.75" customHeight="1">
      <c r="G941" s="5"/>
      <c r="H941" s="5"/>
      <c r="I941" s="5"/>
      <c r="K941" s="6"/>
    </row>
    <row r="942" ht="15.75" customHeight="1">
      <c r="G942" s="5"/>
      <c r="H942" s="5"/>
      <c r="I942" s="5"/>
      <c r="K942" s="6"/>
    </row>
    <row r="943" ht="15.75" customHeight="1">
      <c r="G943" s="5"/>
      <c r="H943" s="5"/>
      <c r="I943" s="5"/>
      <c r="K943" s="6"/>
    </row>
    <row r="944" ht="15.75" customHeight="1">
      <c r="G944" s="5"/>
      <c r="H944" s="5"/>
      <c r="I944" s="5"/>
      <c r="K944" s="6"/>
    </row>
    <row r="945" ht="15.75" customHeight="1">
      <c r="G945" s="5"/>
      <c r="H945" s="5"/>
      <c r="I945" s="5"/>
      <c r="K945" s="6"/>
    </row>
    <row r="946" ht="15.75" customHeight="1">
      <c r="G946" s="5"/>
      <c r="H946" s="5"/>
      <c r="I946" s="5"/>
      <c r="K946" s="6"/>
    </row>
    <row r="947" ht="15.75" customHeight="1">
      <c r="G947" s="5"/>
      <c r="H947" s="5"/>
      <c r="I947" s="5"/>
      <c r="K947" s="6"/>
    </row>
    <row r="948" ht="15.75" customHeight="1">
      <c r="G948" s="5"/>
      <c r="H948" s="5"/>
      <c r="I948" s="5"/>
      <c r="K948" s="6"/>
    </row>
    <row r="949" ht="15.75" customHeight="1">
      <c r="G949" s="5"/>
      <c r="H949" s="5"/>
      <c r="I949" s="5"/>
      <c r="K949" s="6"/>
    </row>
    <row r="950" ht="15.75" customHeight="1">
      <c r="G950" s="5"/>
      <c r="H950" s="5"/>
      <c r="I950" s="5"/>
      <c r="K950" s="6"/>
    </row>
    <row r="951" ht="15.75" customHeight="1">
      <c r="G951" s="5"/>
      <c r="H951" s="5"/>
      <c r="I951" s="5"/>
      <c r="K951" s="6"/>
    </row>
    <row r="952" ht="15.75" customHeight="1">
      <c r="G952" s="5"/>
      <c r="H952" s="5"/>
      <c r="I952" s="5"/>
      <c r="K952" s="6"/>
    </row>
    <row r="953" ht="15.75" customHeight="1">
      <c r="G953" s="5"/>
      <c r="H953" s="5"/>
      <c r="I953" s="5"/>
      <c r="K953" s="6"/>
    </row>
    <row r="954" ht="15.75" customHeight="1">
      <c r="G954" s="5"/>
      <c r="H954" s="5"/>
      <c r="I954" s="5"/>
      <c r="K954" s="6"/>
    </row>
    <row r="955" ht="15.75" customHeight="1">
      <c r="G955" s="5"/>
      <c r="H955" s="5"/>
      <c r="I955" s="5"/>
      <c r="K955" s="6"/>
    </row>
    <row r="956" ht="15.75" customHeight="1">
      <c r="G956" s="5"/>
      <c r="H956" s="5"/>
      <c r="I956" s="5"/>
      <c r="K956" s="6"/>
    </row>
    <row r="957" ht="15.75" customHeight="1">
      <c r="G957" s="5"/>
      <c r="H957" s="5"/>
      <c r="I957" s="5"/>
      <c r="K957" s="6"/>
    </row>
    <row r="958" ht="15.75" customHeight="1">
      <c r="G958" s="5"/>
      <c r="H958" s="5"/>
      <c r="I958" s="5"/>
      <c r="K958" s="6"/>
    </row>
    <row r="959" ht="15.75" customHeight="1">
      <c r="G959" s="5"/>
      <c r="H959" s="5"/>
      <c r="I959" s="5"/>
      <c r="K959" s="6"/>
    </row>
    <row r="960" ht="15.75" customHeight="1">
      <c r="G960" s="5"/>
      <c r="H960" s="5"/>
      <c r="I960" s="5"/>
      <c r="K960" s="6"/>
    </row>
    <row r="961" ht="15.75" customHeight="1">
      <c r="G961" s="5"/>
      <c r="H961" s="5"/>
      <c r="I961" s="5"/>
      <c r="K961" s="6"/>
    </row>
    <row r="962" ht="15.75" customHeight="1">
      <c r="G962" s="5"/>
      <c r="H962" s="5"/>
      <c r="I962" s="5"/>
      <c r="K962" s="6"/>
    </row>
    <row r="963" ht="15.75" customHeight="1">
      <c r="G963" s="5"/>
      <c r="H963" s="5"/>
      <c r="I963" s="5"/>
      <c r="K963" s="6"/>
    </row>
    <row r="964" ht="15.75" customHeight="1">
      <c r="G964" s="5"/>
      <c r="H964" s="5"/>
      <c r="I964" s="5"/>
      <c r="K964" s="6"/>
    </row>
    <row r="965" ht="15.75" customHeight="1">
      <c r="G965" s="5"/>
      <c r="H965" s="5"/>
      <c r="I965" s="5"/>
      <c r="K965" s="6"/>
    </row>
    <row r="966" ht="15.75" customHeight="1">
      <c r="G966" s="5"/>
      <c r="H966" s="5"/>
      <c r="I966" s="5"/>
      <c r="K966" s="6"/>
    </row>
    <row r="967" ht="15.75" customHeight="1">
      <c r="G967" s="5"/>
      <c r="H967" s="5"/>
      <c r="I967" s="5"/>
      <c r="K967" s="6"/>
    </row>
    <row r="968" ht="15.75" customHeight="1">
      <c r="G968" s="5"/>
      <c r="H968" s="5"/>
      <c r="I968" s="5"/>
      <c r="K968" s="6"/>
    </row>
    <row r="969" ht="15.75" customHeight="1">
      <c r="G969" s="5"/>
      <c r="H969" s="5"/>
      <c r="I969" s="5"/>
      <c r="K969" s="6"/>
    </row>
    <row r="970" ht="15.75" customHeight="1">
      <c r="G970" s="5"/>
      <c r="H970" s="5"/>
      <c r="I970" s="5"/>
      <c r="K970" s="6"/>
    </row>
    <row r="971" ht="15.75" customHeight="1">
      <c r="G971" s="5"/>
      <c r="H971" s="5"/>
      <c r="I971" s="5"/>
      <c r="K971" s="6"/>
    </row>
    <row r="972" ht="15.75" customHeight="1">
      <c r="G972" s="5"/>
      <c r="H972" s="5"/>
      <c r="I972" s="5"/>
      <c r="K972" s="6"/>
    </row>
    <row r="973" ht="15.75" customHeight="1">
      <c r="G973" s="5"/>
      <c r="H973" s="5"/>
      <c r="I973" s="5"/>
      <c r="K973" s="6"/>
    </row>
    <row r="974" ht="15.75" customHeight="1">
      <c r="G974" s="5"/>
      <c r="H974" s="5"/>
      <c r="I974" s="5"/>
      <c r="K974" s="6"/>
    </row>
    <row r="975" ht="15.75" customHeight="1">
      <c r="G975" s="5"/>
      <c r="H975" s="5"/>
      <c r="I975" s="5"/>
      <c r="K975" s="6"/>
    </row>
    <row r="976" ht="15.75" customHeight="1">
      <c r="G976" s="5"/>
      <c r="H976" s="5"/>
      <c r="I976" s="5"/>
      <c r="K976" s="6"/>
    </row>
    <row r="977" ht="15.75" customHeight="1">
      <c r="G977" s="5"/>
      <c r="H977" s="5"/>
      <c r="I977" s="5"/>
      <c r="K977" s="6"/>
    </row>
    <row r="978" ht="15.75" customHeight="1">
      <c r="G978" s="5"/>
      <c r="H978" s="5"/>
      <c r="I978" s="5"/>
      <c r="K978" s="6"/>
    </row>
    <row r="979" ht="15.75" customHeight="1">
      <c r="G979" s="5"/>
      <c r="H979" s="5"/>
      <c r="I979" s="5"/>
      <c r="K979" s="6"/>
    </row>
    <row r="980" ht="15.75" customHeight="1">
      <c r="G980" s="5"/>
      <c r="H980" s="5"/>
      <c r="I980" s="5"/>
      <c r="K980" s="6"/>
    </row>
    <row r="981" ht="15.75" customHeight="1">
      <c r="G981" s="5"/>
      <c r="H981" s="5"/>
      <c r="I981" s="5"/>
      <c r="K981" s="6"/>
    </row>
    <row r="982" ht="15.75" customHeight="1">
      <c r="G982" s="5"/>
      <c r="H982" s="5"/>
      <c r="I982" s="5"/>
      <c r="K982" s="6"/>
    </row>
    <row r="983" ht="15.75" customHeight="1">
      <c r="G983" s="5"/>
      <c r="H983" s="5"/>
      <c r="I983" s="5"/>
      <c r="K983" s="6"/>
    </row>
    <row r="984" ht="15.75" customHeight="1">
      <c r="G984" s="5"/>
      <c r="H984" s="5"/>
      <c r="I984" s="5"/>
      <c r="K984" s="6"/>
    </row>
    <row r="985" ht="15.75" customHeight="1">
      <c r="G985" s="5"/>
      <c r="H985" s="5"/>
      <c r="I985" s="5"/>
      <c r="K985" s="6"/>
    </row>
    <row r="986" ht="15.75" customHeight="1">
      <c r="G986" s="5"/>
      <c r="H986" s="5"/>
      <c r="I986" s="5"/>
      <c r="K986" s="6"/>
    </row>
    <row r="987" ht="15.75" customHeight="1">
      <c r="G987" s="5"/>
      <c r="H987" s="5"/>
      <c r="I987" s="5"/>
      <c r="K987" s="6"/>
    </row>
    <row r="988" ht="15.75" customHeight="1">
      <c r="G988" s="5"/>
      <c r="H988" s="5"/>
      <c r="I988" s="5"/>
      <c r="K988" s="6"/>
    </row>
    <row r="989" ht="15.75" customHeight="1">
      <c r="G989" s="5"/>
      <c r="H989" s="5"/>
      <c r="I989" s="5"/>
      <c r="K989" s="6"/>
    </row>
    <row r="990" ht="15.75" customHeight="1">
      <c r="G990" s="5"/>
      <c r="H990" s="5"/>
      <c r="I990" s="5"/>
      <c r="K990" s="6"/>
    </row>
    <row r="991" ht="15.75" customHeight="1">
      <c r="G991" s="5"/>
      <c r="H991" s="5"/>
      <c r="I991" s="5"/>
      <c r="K991" s="6"/>
    </row>
    <row r="992" ht="15.75" customHeight="1">
      <c r="G992" s="5"/>
      <c r="H992" s="5"/>
      <c r="I992" s="5"/>
      <c r="K992" s="6"/>
    </row>
    <row r="993" ht="15.75" customHeight="1">
      <c r="G993" s="5"/>
      <c r="H993" s="5"/>
      <c r="I993" s="5"/>
      <c r="K993" s="6"/>
    </row>
    <row r="994" ht="15.75" customHeight="1">
      <c r="G994" s="5"/>
      <c r="H994" s="5"/>
      <c r="I994" s="5"/>
      <c r="K994" s="6"/>
    </row>
    <row r="995" ht="15.75" customHeight="1">
      <c r="G995" s="5"/>
      <c r="H995" s="5"/>
      <c r="I995" s="5"/>
      <c r="K995" s="6"/>
    </row>
    <row r="996" ht="15.75" customHeight="1">
      <c r="G996" s="5"/>
      <c r="H996" s="5"/>
      <c r="I996" s="5"/>
      <c r="K996" s="6"/>
    </row>
    <row r="997" ht="15.75" customHeight="1">
      <c r="G997" s="5"/>
      <c r="H997" s="5"/>
      <c r="I997" s="5"/>
      <c r="K997" s="6"/>
    </row>
    <row r="998" ht="15.75" customHeight="1">
      <c r="G998" s="5"/>
      <c r="H998" s="5"/>
      <c r="I998" s="5"/>
      <c r="K998" s="6"/>
    </row>
    <row r="999" ht="15.75" customHeight="1">
      <c r="G999" s="5"/>
      <c r="H999" s="5"/>
      <c r="I999" s="5"/>
      <c r="K999" s="6"/>
    </row>
    <row r="1000" ht="15.75" customHeight="1">
      <c r="G1000" s="5"/>
      <c r="H1000" s="5"/>
      <c r="I1000" s="5"/>
      <c r="K1000" s="6"/>
    </row>
  </sheetData>
  <autoFilter ref="$A$1:$P$1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23.75"/>
    <col customWidth="1" min="3" max="3" width="8.0"/>
    <col customWidth="1" min="4" max="4" width="60.13"/>
    <col customWidth="1" hidden="1" min="5" max="5" width="17.88"/>
    <col customWidth="1" min="6" max="6" width="7.63"/>
    <col customWidth="1" min="7" max="7" width="10.38"/>
    <col customWidth="1" min="8" max="8" width="10.25"/>
    <col customWidth="1" min="9" max="10" width="11.75"/>
    <col customWidth="1" min="11" max="11" width="12.75"/>
    <col customWidth="1" min="12" max="12" width="9.13"/>
    <col customWidth="1" min="13" max="13" width="20.13"/>
    <col customWidth="1" min="14" max="14" width="13.0"/>
    <col customWidth="1" min="15" max="15" width="14.75"/>
    <col customWidth="1" min="16" max="16" width="18.5"/>
    <col customWidth="1" min="17" max="26" width="7.63"/>
  </cols>
  <sheetData>
    <row r="1">
      <c r="G1" s="7" t="s">
        <v>196</v>
      </c>
      <c r="H1" s="8"/>
      <c r="I1" s="9"/>
      <c r="K1" s="6"/>
    </row>
    <row r="2">
      <c r="A2" s="10" t="s">
        <v>0</v>
      </c>
      <c r="B2" s="10" t="s">
        <v>1</v>
      </c>
      <c r="C2" s="10" t="s">
        <v>2</v>
      </c>
      <c r="D2" s="10" t="s">
        <v>3</v>
      </c>
      <c r="E2" s="10" t="s">
        <v>4</v>
      </c>
      <c r="F2" s="10" t="s">
        <v>5</v>
      </c>
      <c r="G2" s="11" t="s">
        <v>197</v>
      </c>
      <c r="H2" s="11" t="s">
        <v>198</v>
      </c>
      <c r="I2" s="11" t="s">
        <v>199</v>
      </c>
      <c r="J2" s="10" t="s">
        <v>9</v>
      </c>
      <c r="K2" s="12" t="s">
        <v>10</v>
      </c>
      <c r="L2" s="10" t="s">
        <v>11</v>
      </c>
      <c r="M2" s="13" t="s">
        <v>200</v>
      </c>
      <c r="N2" s="14" t="s">
        <v>201</v>
      </c>
      <c r="O2" s="15" t="s">
        <v>202</v>
      </c>
      <c r="P2" s="16" t="s">
        <v>203</v>
      </c>
    </row>
    <row r="3">
      <c r="A3" s="1" t="s">
        <v>15</v>
      </c>
      <c r="B3" s="1" t="s">
        <v>16</v>
      </c>
      <c r="C3" s="1" t="s">
        <v>204</v>
      </c>
      <c r="D3" s="17" t="s">
        <v>17</v>
      </c>
      <c r="E3" s="1" t="s">
        <v>18</v>
      </c>
      <c r="F3" s="1" t="s">
        <v>19</v>
      </c>
      <c r="G3" s="2">
        <v>6900.0</v>
      </c>
      <c r="H3" s="2">
        <v>23000.0</v>
      </c>
      <c r="I3" s="2">
        <v>0.0</v>
      </c>
      <c r="J3" s="1">
        <v>29900.0</v>
      </c>
      <c r="K3" s="3">
        <v>0.12</v>
      </c>
      <c r="L3" s="1">
        <v>2304.0</v>
      </c>
      <c r="M3" s="1"/>
      <c r="N3" s="18"/>
      <c r="O3" s="19"/>
      <c r="P3" s="19"/>
    </row>
    <row r="4">
      <c r="A4" s="1" t="s">
        <v>15</v>
      </c>
      <c r="B4" s="1" t="s">
        <v>20</v>
      </c>
      <c r="C4" s="1" t="s">
        <v>204</v>
      </c>
      <c r="D4" s="1" t="s">
        <v>21</v>
      </c>
      <c r="E4" s="1">
        <v>4.05030023E8</v>
      </c>
      <c r="F4" s="1" t="s">
        <v>19</v>
      </c>
      <c r="G4" s="2">
        <v>0.0</v>
      </c>
      <c r="H4" s="2">
        <v>0.0</v>
      </c>
      <c r="I4" s="2">
        <v>0.0</v>
      </c>
      <c r="J4" s="1">
        <v>0.0</v>
      </c>
      <c r="K4" s="3">
        <v>0.19</v>
      </c>
      <c r="L4" s="1">
        <v>810.0</v>
      </c>
      <c r="M4" s="1"/>
      <c r="N4" s="18"/>
      <c r="O4" s="19"/>
      <c r="P4" s="19"/>
    </row>
    <row r="5">
      <c r="A5" s="1" t="s">
        <v>15</v>
      </c>
      <c r="B5" s="1" t="s">
        <v>22</v>
      </c>
      <c r="C5" s="1" t="s">
        <v>23</v>
      </c>
      <c r="D5" s="20" t="s">
        <v>24</v>
      </c>
      <c r="E5" s="1" t="s">
        <v>25</v>
      </c>
      <c r="F5" s="1" t="s">
        <v>19</v>
      </c>
      <c r="G5" s="2">
        <v>0.0</v>
      </c>
      <c r="H5" s="2">
        <v>0.0</v>
      </c>
      <c r="I5" s="2">
        <v>0.0</v>
      </c>
      <c r="J5" s="1">
        <v>0.0</v>
      </c>
      <c r="K5" s="3">
        <v>0.16</v>
      </c>
      <c r="L5" s="1">
        <v>1632.0</v>
      </c>
      <c r="M5" s="1"/>
      <c r="N5" s="18">
        <v>0.148</v>
      </c>
      <c r="O5" s="19"/>
      <c r="P5" s="19"/>
    </row>
    <row r="6">
      <c r="A6" s="1" t="s">
        <v>15</v>
      </c>
      <c r="B6" s="1" t="s">
        <v>26</v>
      </c>
      <c r="C6" s="1" t="s">
        <v>204</v>
      </c>
      <c r="D6" s="17" t="s">
        <v>27</v>
      </c>
      <c r="E6" s="1" t="s">
        <v>28</v>
      </c>
      <c r="F6" s="1" t="s">
        <v>19</v>
      </c>
      <c r="G6" s="2">
        <v>0.0</v>
      </c>
      <c r="H6" s="2">
        <v>33600.0</v>
      </c>
      <c r="I6" s="2">
        <v>0.0</v>
      </c>
      <c r="J6" s="1">
        <v>33600.0</v>
      </c>
      <c r="K6" s="3">
        <v>0.13</v>
      </c>
      <c r="L6" s="1">
        <v>1680.0</v>
      </c>
      <c r="M6" s="4" t="s">
        <v>205</v>
      </c>
      <c r="N6" s="18"/>
      <c r="O6" s="19"/>
      <c r="P6" s="19"/>
    </row>
    <row r="7">
      <c r="A7" s="1" t="s">
        <v>15</v>
      </c>
      <c r="B7" s="1" t="s">
        <v>29</v>
      </c>
      <c r="C7" s="1" t="s">
        <v>23</v>
      </c>
      <c r="D7" s="17" t="s">
        <v>30</v>
      </c>
      <c r="E7" s="1" t="s">
        <v>31</v>
      </c>
      <c r="F7" s="1" t="s">
        <v>19</v>
      </c>
      <c r="G7" s="2">
        <v>8400.0</v>
      </c>
      <c r="H7" s="2">
        <v>0.0</v>
      </c>
      <c r="I7" s="2">
        <v>39970.0</v>
      </c>
      <c r="J7" s="1">
        <v>48370.0</v>
      </c>
      <c r="K7" s="3">
        <v>0.13</v>
      </c>
      <c r="L7" s="1">
        <v>1680.0</v>
      </c>
      <c r="M7" s="4" t="s">
        <v>206</v>
      </c>
      <c r="N7" s="18">
        <v>0.139</v>
      </c>
      <c r="O7" s="19"/>
      <c r="P7" s="19"/>
    </row>
    <row r="8">
      <c r="A8" s="1" t="s">
        <v>15</v>
      </c>
      <c r="B8" s="1" t="s">
        <v>32</v>
      </c>
      <c r="C8" s="1" t="s">
        <v>204</v>
      </c>
      <c r="D8" s="17" t="s">
        <v>207</v>
      </c>
      <c r="E8" s="1" t="s">
        <v>34</v>
      </c>
      <c r="F8" s="1" t="s">
        <v>19</v>
      </c>
      <c r="G8" s="2">
        <v>3744.0</v>
      </c>
      <c r="H8" s="2">
        <v>0.0</v>
      </c>
      <c r="I8" s="2">
        <v>45980.0</v>
      </c>
      <c r="J8" s="1">
        <v>49724.0</v>
      </c>
      <c r="K8" s="3">
        <v>0.12</v>
      </c>
      <c r="L8" s="1">
        <v>2300.0</v>
      </c>
      <c r="M8" s="1"/>
      <c r="N8" s="18">
        <v>0.121</v>
      </c>
      <c r="O8" s="19"/>
      <c r="P8" s="19"/>
    </row>
    <row r="9">
      <c r="A9" s="1" t="s">
        <v>15</v>
      </c>
      <c r="B9" s="1" t="s">
        <v>35</v>
      </c>
      <c r="C9" s="1" t="s">
        <v>23</v>
      </c>
      <c r="D9" s="17" t="s">
        <v>36</v>
      </c>
      <c r="E9" s="1" t="s">
        <v>37</v>
      </c>
      <c r="F9" s="1" t="s">
        <v>19</v>
      </c>
      <c r="G9" s="2">
        <v>0.0</v>
      </c>
      <c r="H9" s="2">
        <v>0.0</v>
      </c>
      <c r="I9" s="2">
        <v>0.0</v>
      </c>
      <c r="J9" s="1">
        <v>0.0</v>
      </c>
      <c r="K9" s="3">
        <v>0.13</v>
      </c>
      <c r="L9" s="1">
        <v>950.0</v>
      </c>
      <c r="M9" s="1"/>
      <c r="N9" s="18">
        <v>0.139</v>
      </c>
      <c r="O9" s="19"/>
      <c r="P9" s="19"/>
    </row>
    <row r="10">
      <c r="A10" s="1" t="s">
        <v>15</v>
      </c>
      <c r="B10" s="1" t="s">
        <v>38</v>
      </c>
      <c r="C10" s="1" t="s">
        <v>23</v>
      </c>
      <c r="D10" s="17" t="s">
        <v>39</v>
      </c>
      <c r="E10" s="1" t="s">
        <v>40</v>
      </c>
      <c r="F10" s="1" t="s">
        <v>19</v>
      </c>
      <c r="G10" s="2">
        <v>18050.0</v>
      </c>
      <c r="H10" s="2">
        <v>0.0</v>
      </c>
      <c r="I10" s="2">
        <v>0.0</v>
      </c>
      <c r="J10" s="1">
        <v>18050.0</v>
      </c>
      <c r="K10" s="3">
        <v>0.2</v>
      </c>
      <c r="L10" s="1">
        <v>950.0</v>
      </c>
      <c r="M10" s="4" t="s">
        <v>208</v>
      </c>
      <c r="N10" s="18">
        <v>0.215</v>
      </c>
      <c r="O10" s="19"/>
      <c r="P10" s="19"/>
    </row>
    <row r="11">
      <c r="A11" s="1" t="s">
        <v>15</v>
      </c>
      <c r="B11" s="1" t="s">
        <v>41</v>
      </c>
      <c r="C11" s="1" t="s">
        <v>23</v>
      </c>
      <c r="D11" s="17" t="s">
        <v>42</v>
      </c>
      <c r="E11" s="1" t="s">
        <v>43</v>
      </c>
      <c r="F11" s="1" t="s">
        <v>19</v>
      </c>
      <c r="G11" s="2">
        <v>0.0</v>
      </c>
      <c r="H11" s="2">
        <v>927.0</v>
      </c>
      <c r="I11" s="2">
        <v>0.0</v>
      </c>
      <c r="J11" s="1">
        <v>927.0</v>
      </c>
      <c r="K11" s="3">
        <v>0.31</v>
      </c>
      <c r="L11" s="1">
        <v>927.0</v>
      </c>
      <c r="M11" s="1"/>
      <c r="N11" s="18"/>
      <c r="O11" s="19"/>
      <c r="P11" s="19"/>
    </row>
    <row r="12">
      <c r="A12" s="1" t="s">
        <v>15</v>
      </c>
      <c r="B12" s="1" t="s">
        <v>44</v>
      </c>
      <c r="C12" s="1" t="s">
        <v>23</v>
      </c>
      <c r="D12" s="17" t="s">
        <v>45</v>
      </c>
      <c r="E12" s="1" t="s">
        <v>46</v>
      </c>
      <c r="F12" s="1" t="s">
        <v>19</v>
      </c>
      <c r="G12" s="2">
        <v>0.0</v>
      </c>
      <c r="H12" s="2">
        <v>0.0</v>
      </c>
      <c r="I12" s="2">
        <v>0.0</v>
      </c>
      <c r="J12" s="1">
        <v>0.0</v>
      </c>
      <c r="K12" s="3">
        <v>0.17</v>
      </c>
      <c r="L12" s="1">
        <v>880.0</v>
      </c>
      <c r="M12" s="4" t="s">
        <v>209</v>
      </c>
      <c r="N12" s="18">
        <v>0.158</v>
      </c>
      <c r="O12" s="19"/>
      <c r="P12" s="19"/>
    </row>
    <row r="13">
      <c r="A13" s="1" t="s">
        <v>15</v>
      </c>
      <c r="B13" s="1" t="s">
        <v>47</v>
      </c>
      <c r="C13" s="1" t="s">
        <v>204</v>
      </c>
      <c r="D13" s="17" t="s">
        <v>48</v>
      </c>
      <c r="E13" s="1" t="s">
        <v>49</v>
      </c>
      <c r="F13" s="1" t="s">
        <v>19</v>
      </c>
      <c r="G13" s="2">
        <v>0.0</v>
      </c>
      <c r="H13" s="2">
        <v>0.0</v>
      </c>
      <c r="I13" s="2">
        <v>31240.0</v>
      </c>
      <c r="J13" s="1">
        <v>31240.0</v>
      </c>
      <c r="K13" s="3">
        <v>0.21</v>
      </c>
      <c r="L13" s="1">
        <v>1562.0</v>
      </c>
      <c r="M13" s="1"/>
      <c r="N13" s="18"/>
      <c r="O13" s="19"/>
      <c r="P13" s="19"/>
    </row>
    <row r="14">
      <c r="A14" s="1" t="s">
        <v>15</v>
      </c>
      <c r="B14" s="1" t="s">
        <v>50</v>
      </c>
      <c r="C14" s="1" t="s">
        <v>23</v>
      </c>
      <c r="D14" s="17" t="s">
        <v>51</v>
      </c>
      <c r="E14" s="1" t="s">
        <v>52</v>
      </c>
      <c r="F14" s="1" t="s">
        <v>19</v>
      </c>
      <c r="G14" s="2">
        <v>0.0</v>
      </c>
      <c r="H14" s="2">
        <v>0.0</v>
      </c>
      <c r="I14" s="2">
        <v>0.0</v>
      </c>
      <c r="J14" s="1">
        <v>0.0</v>
      </c>
      <c r="K14" s="3">
        <v>0.21</v>
      </c>
      <c r="L14" s="1">
        <v>880.0</v>
      </c>
      <c r="M14" s="4" t="s">
        <v>210</v>
      </c>
      <c r="N14" s="18">
        <v>0.222</v>
      </c>
      <c r="O14" s="19"/>
      <c r="P14" s="19"/>
    </row>
    <row r="15">
      <c r="A15" s="1" t="s">
        <v>15</v>
      </c>
      <c r="B15" s="1" t="s">
        <v>53</v>
      </c>
      <c r="C15" s="1" t="s">
        <v>204</v>
      </c>
      <c r="D15" s="17" t="s">
        <v>54</v>
      </c>
      <c r="E15" s="1" t="s">
        <v>55</v>
      </c>
      <c r="F15" s="1" t="s">
        <v>19</v>
      </c>
      <c r="G15" s="2">
        <v>0.0</v>
      </c>
      <c r="H15" s="2">
        <v>0.0</v>
      </c>
      <c r="I15" s="2">
        <v>0.0</v>
      </c>
      <c r="J15" s="1">
        <v>4000.0</v>
      </c>
      <c r="K15" s="3">
        <v>0.11</v>
      </c>
      <c r="L15" s="1">
        <v>2000.0</v>
      </c>
      <c r="M15" s="1"/>
      <c r="N15" s="18"/>
      <c r="O15" s="19"/>
      <c r="P15" s="19"/>
    </row>
    <row r="16">
      <c r="A16" s="1" t="s">
        <v>15</v>
      </c>
      <c r="B16" s="1" t="s">
        <v>56</v>
      </c>
      <c r="C16" s="1" t="s">
        <v>204</v>
      </c>
      <c r="D16" s="1" t="s">
        <v>57</v>
      </c>
      <c r="E16" s="1" t="s">
        <v>58</v>
      </c>
      <c r="F16" s="1" t="s">
        <v>19</v>
      </c>
      <c r="G16" s="2">
        <v>0.0</v>
      </c>
      <c r="H16" s="2">
        <v>0.0</v>
      </c>
      <c r="I16" s="2">
        <v>0.0</v>
      </c>
      <c r="J16" s="1">
        <v>0.0</v>
      </c>
      <c r="K16" s="3">
        <v>0.17</v>
      </c>
      <c r="L16" s="1">
        <v>1562.0</v>
      </c>
      <c r="M16" s="4"/>
      <c r="N16" s="18"/>
      <c r="O16" s="19"/>
      <c r="P16" s="19"/>
    </row>
    <row r="17">
      <c r="A17" s="1" t="s">
        <v>15</v>
      </c>
      <c r="B17" s="1" t="s">
        <v>60</v>
      </c>
      <c r="C17" s="1" t="s">
        <v>204</v>
      </c>
      <c r="D17" s="1" t="s">
        <v>61</v>
      </c>
      <c r="E17" s="1" t="s">
        <v>62</v>
      </c>
      <c r="F17" s="1" t="s">
        <v>19</v>
      </c>
      <c r="G17" s="2">
        <v>0.0</v>
      </c>
      <c r="H17" s="2">
        <v>0.0</v>
      </c>
      <c r="I17" s="2">
        <v>0.0</v>
      </c>
      <c r="J17" s="1">
        <v>0.0</v>
      </c>
      <c r="K17" s="3">
        <v>0.17</v>
      </c>
      <c r="L17" s="1">
        <v>1545.0</v>
      </c>
      <c r="M17" s="4"/>
      <c r="N17" s="18"/>
      <c r="O17" s="19"/>
      <c r="P17" s="19"/>
    </row>
    <row r="18">
      <c r="A18" s="1" t="s">
        <v>15</v>
      </c>
      <c r="B18" s="1" t="s">
        <v>64</v>
      </c>
      <c r="C18" s="1" t="s">
        <v>23</v>
      </c>
      <c r="D18" s="1" t="s">
        <v>65</v>
      </c>
      <c r="E18" s="1" t="s">
        <v>66</v>
      </c>
      <c r="F18" s="1" t="s">
        <v>19</v>
      </c>
      <c r="G18" s="2">
        <v>0.0</v>
      </c>
      <c r="H18" s="2">
        <v>0.0</v>
      </c>
      <c r="I18" s="2">
        <v>0.0</v>
      </c>
      <c r="J18" s="1">
        <v>0.0</v>
      </c>
      <c r="K18" s="3">
        <v>0.39</v>
      </c>
      <c r="L18" s="1">
        <v>780.0</v>
      </c>
      <c r="M18" s="4"/>
      <c r="N18" s="18"/>
      <c r="O18" s="19"/>
      <c r="P18" s="19"/>
    </row>
    <row r="19">
      <c r="A19" s="1" t="s">
        <v>15</v>
      </c>
      <c r="B19" s="1" t="s">
        <v>67</v>
      </c>
      <c r="C19" s="1" t="s">
        <v>204</v>
      </c>
      <c r="D19" s="1" t="s">
        <v>68</v>
      </c>
      <c r="E19" s="1" t="s">
        <v>69</v>
      </c>
      <c r="F19" s="1" t="s">
        <v>19</v>
      </c>
      <c r="G19" s="2">
        <v>0.0</v>
      </c>
      <c r="H19" s="2">
        <v>0.0</v>
      </c>
      <c r="I19" s="2">
        <v>0.0</v>
      </c>
      <c r="J19" s="1">
        <v>0.0</v>
      </c>
      <c r="K19" s="3">
        <v>0.0</v>
      </c>
      <c r="L19" s="1">
        <v>850.0</v>
      </c>
      <c r="M19" s="4"/>
      <c r="N19" s="18"/>
      <c r="O19" s="19"/>
      <c r="P19" s="19"/>
    </row>
    <row r="20">
      <c r="A20" s="1" t="s">
        <v>15</v>
      </c>
      <c r="B20" s="1" t="s">
        <v>70</v>
      </c>
      <c r="C20" s="1" t="s">
        <v>204</v>
      </c>
      <c r="D20" s="1" t="s">
        <v>71</v>
      </c>
      <c r="E20" s="1">
        <v>4.05090006E8</v>
      </c>
      <c r="F20" s="1" t="s">
        <v>19</v>
      </c>
      <c r="G20" s="2">
        <v>0.0</v>
      </c>
      <c r="H20" s="2">
        <v>0.0</v>
      </c>
      <c r="I20" s="2">
        <v>0.0</v>
      </c>
      <c r="J20" s="1">
        <v>0.0</v>
      </c>
      <c r="K20" s="3">
        <v>0.12</v>
      </c>
      <c r="L20" s="1">
        <v>2240.0</v>
      </c>
      <c r="M20" s="4"/>
      <c r="N20" s="18"/>
      <c r="O20" s="19"/>
      <c r="P20" s="19"/>
    </row>
    <row r="21" ht="15.75" customHeight="1">
      <c r="A21" s="1" t="s">
        <v>15</v>
      </c>
      <c r="B21" s="1" t="s">
        <v>72</v>
      </c>
      <c r="C21" s="1" t="s">
        <v>23</v>
      </c>
      <c r="D21" s="17" t="s">
        <v>73</v>
      </c>
      <c r="E21" s="1" t="s">
        <v>74</v>
      </c>
      <c r="F21" s="1" t="s">
        <v>19</v>
      </c>
      <c r="G21" s="2">
        <v>10626.0</v>
      </c>
      <c r="H21" s="2">
        <v>0.0</v>
      </c>
      <c r="I21" s="2">
        <v>0.0</v>
      </c>
      <c r="J21" s="1">
        <v>10626.0</v>
      </c>
      <c r="K21" s="3">
        <v>0.2</v>
      </c>
      <c r="L21" s="1">
        <v>1518.0</v>
      </c>
      <c r="M21" s="4"/>
      <c r="N21" s="18">
        <v>0.217</v>
      </c>
      <c r="O21" s="19"/>
      <c r="P21" s="19"/>
    </row>
    <row r="22" ht="15.75" customHeight="1">
      <c r="A22" s="1" t="s">
        <v>15</v>
      </c>
      <c r="B22" s="1" t="s">
        <v>75</v>
      </c>
      <c r="C22" s="1" t="s">
        <v>23</v>
      </c>
      <c r="D22" s="1" t="s">
        <v>76</v>
      </c>
      <c r="E22" s="1" t="s">
        <v>77</v>
      </c>
      <c r="F22" s="1" t="s">
        <v>19</v>
      </c>
      <c r="G22" s="2">
        <v>0.0</v>
      </c>
      <c r="H22" s="2">
        <v>0.0</v>
      </c>
      <c r="I22" s="2">
        <v>0.0</v>
      </c>
      <c r="J22" s="1">
        <v>0.0</v>
      </c>
      <c r="K22" s="3">
        <v>0.18</v>
      </c>
      <c r="L22" s="1">
        <v>1302.0</v>
      </c>
      <c r="M22" s="4"/>
      <c r="N22" s="18"/>
      <c r="O22" s="19"/>
      <c r="P22" s="19"/>
    </row>
    <row r="23" ht="15.75" customHeight="1">
      <c r="A23" s="1" t="s">
        <v>15</v>
      </c>
      <c r="B23" s="1" t="s">
        <v>78</v>
      </c>
      <c r="C23" s="1" t="s">
        <v>204</v>
      </c>
      <c r="D23" s="1" t="s">
        <v>79</v>
      </c>
      <c r="E23" s="1" t="s">
        <v>80</v>
      </c>
      <c r="F23" s="1" t="s">
        <v>19</v>
      </c>
      <c r="G23" s="2">
        <v>0.0</v>
      </c>
      <c r="H23" s="2">
        <v>0.0</v>
      </c>
      <c r="I23" s="2">
        <v>0.0</v>
      </c>
      <c r="J23" s="1">
        <v>0.0</v>
      </c>
      <c r="K23" s="3">
        <v>0.35</v>
      </c>
      <c r="L23" s="1">
        <v>720.0</v>
      </c>
      <c r="M23" s="4"/>
      <c r="N23" s="18">
        <v>0.27</v>
      </c>
      <c r="O23" s="19"/>
      <c r="P23" s="19"/>
    </row>
    <row r="24" ht="15.75" customHeight="1">
      <c r="A24" s="1" t="s">
        <v>15</v>
      </c>
      <c r="B24" s="1" t="s">
        <v>81</v>
      </c>
      <c r="C24" s="1" t="s">
        <v>204</v>
      </c>
      <c r="D24" s="1" t="s">
        <v>211</v>
      </c>
      <c r="E24" s="1" t="s">
        <v>83</v>
      </c>
      <c r="F24" s="1" t="s">
        <v>19</v>
      </c>
      <c r="G24" s="2">
        <v>0.0</v>
      </c>
      <c r="H24" s="2">
        <v>0.0</v>
      </c>
      <c r="I24" s="2">
        <v>0.0</v>
      </c>
      <c r="J24" s="1">
        <v>0.0</v>
      </c>
      <c r="K24" s="3">
        <v>0.15</v>
      </c>
      <c r="L24" s="1">
        <v>952.0</v>
      </c>
      <c r="M24" s="4"/>
      <c r="N24" s="18"/>
      <c r="O24" s="19"/>
      <c r="P24" s="19"/>
    </row>
    <row r="25" ht="15.75" customHeight="1">
      <c r="A25" s="1" t="s">
        <v>15</v>
      </c>
      <c r="B25" s="1" t="s">
        <v>84</v>
      </c>
      <c r="C25" s="1" t="s">
        <v>23</v>
      </c>
      <c r="D25" s="17" t="s">
        <v>85</v>
      </c>
      <c r="E25" s="1" t="s">
        <v>86</v>
      </c>
      <c r="F25" s="1" t="s">
        <v>19</v>
      </c>
      <c r="G25" s="2">
        <v>0.0</v>
      </c>
      <c r="H25" s="2">
        <v>10584.0</v>
      </c>
      <c r="I25" s="2">
        <v>10000.0</v>
      </c>
      <c r="J25" s="1">
        <v>20584.0</v>
      </c>
      <c r="K25" s="3">
        <v>0.1</v>
      </c>
      <c r="L25" s="1">
        <v>1155.0</v>
      </c>
      <c r="M25" s="4"/>
      <c r="N25" s="18">
        <v>0.087</v>
      </c>
      <c r="O25" s="19"/>
      <c r="P25" s="19"/>
    </row>
    <row r="26" ht="15.75" customHeight="1">
      <c r="A26" s="1" t="s">
        <v>15</v>
      </c>
      <c r="B26" s="1" t="s">
        <v>87</v>
      </c>
      <c r="C26" s="1" t="s">
        <v>204</v>
      </c>
      <c r="D26" s="17" t="s">
        <v>88</v>
      </c>
      <c r="E26" s="1" t="s">
        <v>89</v>
      </c>
      <c r="F26" s="1" t="s">
        <v>19</v>
      </c>
      <c r="G26" s="2">
        <v>1454.0</v>
      </c>
      <c r="H26" s="2">
        <v>46200.0</v>
      </c>
      <c r="I26" s="2">
        <v>0.0</v>
      </c>
      <c r="J26" s="1">
        <v>52274.0</v>
      </c>
      <c r="K26" s="3">
        <v>0.09</v>
      </c>
      <c r="L26" s="1">
        <v>1155.0</v>
      </c>
      <c r="M26" s="4"/>
      <c r="N26" s="18">
        <v>0.093</v>
      </c>
      <c r="O26" s="19"/>
      <c r="P26" s="19"/>
    </row>
    <row r="27" ht="15.75" customHeight="1">
      <c r="A27" s="1" t="s">
        <v>15</v>
      </c>
      <c r="B27" s="1" t="s">
        <v>91</v>
      </c>
      <c r="C27" s="1" t="s">
        <v>204</v>
      </c>
      <c r="D27" s="1" t="s">
        <v>92</v>
      </c>
      <c r="E27" s="1"/>
      <c r="F27" s="1" t="s">
        <v>19</v>
      </c>
      <c r="G27" s="2">
        <v>0.0</v>
      </c>
      <c r="H27" s="2">
        <v>0.0</v>
      </c>
      <c r="I27" s="2">
        <v>0.0</v>
      </c>
      <c r="J27" s="1">
        <v>0.0</v>
      </c>
      <c r="K27" s="3">
        <v>0.11</v>
      </c>
      <c r="L27" s="1"/>
      <c r="M27" s="4"/>
      <c r="N27" s="18"/>
      <c r="O27" s="19"/>
      <c r="P27" s="19"/>
    </row>
    <row r="28" ht="15.75" customHeight="1">
      <c r="A28" s="1" t="s">
        <v>15</v>
      </c>
      <c r="B28" s="1" t="s">
        <v>94</v>
      </c>
      <c r="C28" s="1" t="s">
        <v>204</v>
      </c>
      <c r="D28" s="1" t="s">
        <v>95</v>
      </c>
      <c r="E28" s="1" t="s">
        <v>96</v>
      </c>
      <c r="F28" s="1" t="s">
        <v>19</v>
      </c>
      <c r="G28" s="2">
        <v>0.0</v>
      </c>
      <c r="H28" s="2">
        <v>0.0</v>
      </c>
      <c r="I28" s="2">
        <v>0.0</v>
      </c>
      <c r="J28" s="1">
        <v>0.0</v>
      </c>
      <c r="K28" s="3">
        <v>0.2</v>
      </c>
      <c r="L28" s="1">
        <v>990.0</v>
      </c>
      <c r="M28" s="4"/>
      <c r="N28" s="18"/>
      <c r="O28" s="19"/>
      <c r="P28" s="19"/>
    </row>
    <row r="29" ht="15.75" customHeight="1">
      <c r="A29" s="1" t="s">
        <v>15</v>
      </c>
      <c r="B29" s="1" t="s">
        <v>98</v>
      </c>
      <c r="C29" s="1" t="s">
        <v>204</v>
      </c>
      <c r="D29" s="1" t="s">
        <v>99</v>
      </c>
      <c r="E29" s="1" t="s">
        <v>100</v>
      </c>
      <c r="F29" s="1" t="s">
        <v>19</v>
      </c>
      <c r="G29" s="2">
        <v>0.0</v>
      </c>
      <c r="H29" s="2">
        <v>0.0</v>
      </c>
      <c r="I29" s="2">
        <v>0.0</v>
      </c>
      <c r="J29" s="1">
        <v>0.0</v>
      </c>
      <c r="K29" s="3">
        <v>0.16</v>
      </c>
      <c r="L29" s="1">
        <v>938.0</v>
      </c>
      <c r="M29" s="1"/>
      <c r="N29" s="18"/>
      <c r="O29" s="19"/>
      <c r="P29" s="19"/>
    </row>
    <row r="30" ht="15.75" customHeight="1">
      <c r="A30" s="1" t="s">
        <v>15</v>
      </c>
      <c r="B30" s="1" t="s">
        <v>101</v>
      </c>
      <c r="C30" s="1" t="s">
        <v>204</v>
      </c>
      <c r="D30" s="1" t="s">
        <v>102</v>
      </c>
      <c r="E30" s="1" t="s">
        <v>103</v>
      </c>
      <c r="F30" s="1" t="s">
        <v>19</v>
      </c>
      <c r="G30" s="2">
        <v>0.0</v>
      </c>
      <c r="H30" s="2">
        <v>0.0</v>
      </c>
      <c r="I30" s="2">
        <v>0.0</v>
      </c>
      <c r="J30" s="1">
        <v>0.0</v>
      </c>
      <c r="K30" s="3">
        <v>0.16</v>
      </c>
      <c r="L30" s="1">
        <v>924.0</v>
      </c>
      <c r="M30" s="1"/>
      <c r="N30" s="18"/>
      <c r="O30" s="19"/>
      <c r="P30" s="19"/>
    </row>
    <row r="31" ht="15.75" customHeight="1">
      <c r="A31" s="1" t="s">
        <v>15</v>
      </c>
      <c r="B31" s="1" t="s">
        <v>104</v>
      </c>
      <c r="C31" s="1" t="s">
        <v>204</v>
      </c>
      <c r="D31" s="1" t="s">
        <v>105</v>
      </c>
      <c r="E31" s="1" t="s">
        <v>106</v>
      </c>
      <c r="F31" s="1" t="s">
        <v>19</v>
      </c>
      <c r="G31" s="2">
        <v>0.0</v>
      </c>
      <c r="H31" s="2">
        <v>0.0</v>
      </c>
      <c r="I31" s="2">
        <v>0.0</v>
      </c>
      <c r="J31" s="1">
        <v>0.0</v>
      </c>
      <c r="K31" s="3">
        <v>0.14</v>
      </c>
      <c r="L31" s="1">
        <v>1176.0</v>
      </c>
      <c r="M31" s="1"/>
      <c r="N31" s="18"/>
      <c r="O31" s="19"/>
      <c r="P31" s="19"/>
    </row>
    <row r="32" ht="15.75" customHeight="1">
      <c r="A32" s="1" t="s">
        <v>15</v>
      </c>
      <c r="B32" s="1" t="s">
        <v>107</v>
      </c>
      <c r="C32" s="1" t="s">
        <v>204</v>
      </c>
      <c r="D32" s="17" t="s">
        <v>108</v>
      </c>
      <c r="E32" s="1" t="s">
        <v>109</v>
      </c>
      <c r="F32" s="1" t="s">
        <v>19</v>
      </c>
      <c r="G32" s="2">
        <v>28224.0</v>
      </c>
      <c r="H32" s="2">
        <v>0.0</v>
      </c>
      <c r="I32" s="2">
        <v>125544.0</v>
      </c>
      <c r="J32" s="1">
        <v>153768.0</v>
      </c>
      <c r="K32" s="3">
        <v>0.11</v>
      </c>
      <c r="L32" s="1">
        <v>1176.0</v>
      </c>
      <c r="M32" s="1"/>
      <c r="N32" s="18">
        <v>0.125</v>
      </c>
      <c r="O32" s="19"/>
      <c r="P32" s="19"/>
    </row>
    <row r="33" ht="15.75" customHeight="1">
      <c r="A33" s="1" t="s">
        <v>15</v>
      </c>
      <c r="B33" s="1" t="s">
        <v>110</v>
      </c>
      <c r="C33" s="1" t="s">
        <v>204</v>
      </c>
      <c r="D33" s="17" t="s">
        <v>111</v>
      </c>
      <c r="E33" s="1" t="s">
        <v>112</v>
      </c>
      <c r="F33" s="1" t="s">
        <v>19</v>
      </c>
      <c r="G33" s="2">
        <v>0.0</v>
      </c>
      <c r="H33" s="2">
        <v>1134.0</v>
      </c>
      <c r="I33" s="2">
        <v>0.0</v>
      </c>
      <c r="J33" s="1">
        <v>1134.0</v>
      </c>
      <c r="K33" s="3">
        <v>0.33</v>
      </c>
      <c r="L33" s="1">
        <v>567.0</v>
      </c>
      <c r="M33" s="1"/>
      <c r="N33" s="18"/>
      <c r="O33" s="19"/>
      <c r="P33" s="19"/>
    </row>
    <row r="34" ht="15.75" customHeight="1">
      <c r="A34" s="1" t="s">
        <v>15</v>
      </c>
      <c r="B34" s="1" t="s">
        <v>113</v>
      </c>
      <c r="C34" s="1" t="s">
        <v>204</v>
      </c>
      <c r="D34" s="1" t="s">
        <v>114</v>
      </c>
      <c r="E34" s="1" t="s">
        <v>115</v>
      </c>
      <c r="F34" s="1" t="s">
        <v>19</v>
      </c>
      <c r="G34" s="2">
        <v>0.0</v>
      </c>
      <c r="H34" s="2">
        <v>0.0</v>
      </c>
      <c r="I34" s="2">
        <v>0.0</v>
      </c>
      <c r="J34" s="1">
        <v>0.0</v>
      </c>
      <c r="K34" s="3">
        <v>0.26</v>
      </c>
      <c r="L34" s="1">
        <v>765.0</v>
      </c>
      <c r="M34" s="1"/>
      <c r="N34" s="18"/>
      <c r="O34" s="19"/>
      <c r="P34" s="19"/>
    </row>
    <row r="35" ht="15.75" customHeight="1">
      <c r="A35" s="1" t="s">
        <v>15</v>
      </c>
      <c r="B35" s="1" t="s">
        <v>116</v>
      </c>
      <c r="C35" s="1" t="s">
        <v>204</v>
      </c>
      <c r="D35" s="17" t="s">
        <v>117</v>
      </c>
      <c r="E35" s="1" t="s">
        <v>118</v>
      </c>
      <c r="F35" s="1" t="s">
        <v>19</v>
      </c>
      <c r="G35" s="2">
        <v>3465.0</v>
      </c>
      <c r="H35" s="2">
        <v>0.0</v>
      </c>
      <c r="I35" s="2">
        <v>0.0</v>
      </c>
      <c r="J35" s="1">
        <v>3465.0</v>
      </c>
      <c r="K35" s="3">
        <v>0.0</v>
      </c>
      <c r="L35" s="1">
        <v>1155.0</v>
      </c>
      <c r="M35" s="1"/>
      <c r="N35" s="18"/>
      <c r="O35" s="19"/>
      <c r="P35" s="19"/>
    </row>
    <row r="36" ht="15.75" customHeight="1">
      <c r="A36" s="1" t="s">
        <v>15</v>
      </c>
      <c r="B36" s="1" t="s">
        <v>119</v>
      </c>
      <c r="C36" s="1" t="s">
        <v>23</v>
      </c>
      <c r="D36" s="1" t="s">
        <v>120</v>
      </c>
      <c r="E36" s="1">
        <v>4.10060005E8</v>
      </c>
      <c r="F36" s="1" t="s">
        <v>19</v>
      </c>
      <c r="G36" s="2">
        <v>0.0</v>
      </c>
      <c r="H36" s="2">
        <v>0.0</v>
      </c>
      <c r="I36" s="2">
        <v>0.0</v>
      </c>
      <c r="J36" s="1">
        <v>0.0</v>
      </c>
      <c r="K36" s="3">
        <v>0.21</v>
      </c>
      <c r="L36" s="1">
        <v>868.0</v>
      </c>
      <c r="M36" s="1"/>
      <c r="N36" s="18"/>
      <c r="O36" s="19"/>
      <c r="P36" s="19"/>
    </row>
    <row r="37" ht="15.75" customHeight="1">
      <c r="A37" s="1" t="s">
        <v>15</v>
      </c>
      <c r="B37" s="1" t="s">
        <v>121</v>
      </c>
      <c r="C37" s="1" t="s">
        <v>204</v>
      </c>
      <c r="D37" s="17" t="s">
        <v>122</v>
      </c>
      <c r="E37" s="1" t="s">
        <v>123</v>
      </c>
      <c r="F37" s="1" t="s">
        <v>19</v>
      </c>
      <c r="G37" s="2">
        <v>0.0</v>
      </c>
      <c r="H37" s="2">
        <v>0.0</v>
      </c>
      <c r="I37" s="2">
        <v>10650.0</v>
      </c>
      <c r="J37" s="1">
        <v>10650.0</v>
      </c>
      <c r="K37" s="3">
        <v>0.18</v>
      </c>
      <c r="L37" s="1">
        <v>660.0</v>
      </c>
      <c r="M37" s="1"/>
      <c r="N37" s="18">
        <v>0.178</v>
      </c>
      <c r="O37" s="19"/>
      <c r="P37" s="19"/>
    </row>
    <row r="38" ht="15.75" customHeight="1">
      <c r="A38" s="1" t="s">
        <v>15</v>
      </c>
      <c r="B38" s="21" t="s">
        <v>124</v>
      </c>
      <c r="C38" s="1" t="s">
        <v>204</v>
      </c>
      <c r="D38" s="22" t="s">
        <v>125</v>
      </c>
      <c r="E38" s="1" t="s">
        <v>124</v>
      </c>
      <c r="F38" s="1" t="s">
        <v>126</v>
      </c>
      <c r="G38" s="2">
        <v>18200.0</v>
      </c>
      <c r="H38" s="2">
        <v>0.0</v>
      </c>
      <c r="I38" s="2">
        <v>0.0</v>
      </c>
      <c r="J38" s="1">
        <v>18200.0</v>
      </c>
      <c r="K38" s="3">
        <v>0.14</v>
      </c>
      <c r="L38" s="1">
        <v>2600.0</v>
      </c>
      <c r="M38" s="1"/>
      <c r="N38" s="18"/>
      <c r="O38" s="19"/>
      <c r="P38" s="19"/>
    </row>
    <row r="39" ht="15.75" customHeight="1">
      <c r="A39" s="1" t="s">
        <v>15</v>
      </c>
      <c r="B39" s="1" t="s">
        <v>127</v>
      </c>
      <c r="C39" s="1" t="s">
        <v>204</v>
      </c>
      <c r="D39" s="1" t="s">
        <v>128</v>
      </c>
      <c r="E39" s="1" t="s">
        <v>127</v>
      </c>
      <c r="F39" s="1" t="s">
        <v>126</v>
      </c>
      <c r="G39" s="2">
        <v>0.0</v>
      </c>
      <c r="H39" s="2">
        <v>0.0</v>
      </c>
      <c r="I39" s="2">
        <v>0.0</v>
      </c>
      <c r="J39" s="1">
        <v>0.0</v>
      </c>
      <c r="K39" s="3">
        <v>0.11</v>
      </c>
      <c r="L39" s="1">
        <v>1400.0</v>
      </c>
      <c r="M39" s="1"/>
      <c r="N39" s="18"/>
      <c r="O39" s="19"/>
      <c r="P39" s="19"/>
    </row>
    <row r="40" ht="15.75" customHeight="1">
      <c r="A40" s="1" t="s">
        <v>15</v>
      </c>
      <c r="B40" s="1" t="s">
        <v>129</v>
      </c>
      <c r="C40" s="1" t="s">
        <v>204</v>
      </c>
      <c r="D40" s="1" t="s">
        <v>130</v>
      </c>
      <c r="E40" s="1" t="s">
        <v>129</v>
      </c>
      <c r="F40" s="1" t="s">
        <v>126</v>
      </c>
      <c r="G40" s="2">
        <v>0.0</v>
      </c>
      <c r="H40" s="2">
        <v>0.0</v>
      </c>
      <c r="I40" s="2">
        <v>0.0</v>
      </c>
      <c r="J40" s="1">
        <v>0.0</v>
      </c>
      <c r="K40" s="3">
        <v>0.0</v>
      </c>
      <c r="L40" s="1">
        <v>2400.0</v>
      </c>
      <c r="M40" s="1"/>
      <c r="N40" s="18"/>
      <c r="O40" s="19"/>
      <c r="P40" s="19"/>
    </row>
    <row r="41" ht="15.75" customHeight="1">
      <c r="A41" s="1" t="s">
        <v>15</v>
      </c>
      <c r="B41" s="1" t="s">
        <v>131</v>
      </c>
      <c r="C41" s="1" t="s">
        <v>23</v>
      </c>
      <c r="D41" s="22" t="s">
        <v>132</v>
      </c>
      <c r="E41" s="1" t="s">
        <v>131</v>
      </c>
      <c r="F41" s="1" t="s">
        <v>126</v>
      </c>
      <c r="G41" s="2">
        <v>0.0</v>
      </c>
      <c r="H41" s="2">
        <v>0.0</v>
      </c>
      <c r="I41" s="2">
        <v>0.0</v>
      </c>
      <c r="J41" s="1">
        <v>0.0</v>
      </c>
      <c r="K41" s="3">
        <v>0.17</v>
      </c>
      <c r="L41" s="1">
        <v>1400.0</v>
      </c>
      <c r="M41" s="1"/>
      <c r="N41" s="18"/>
      <c r="O41" s="19"/>
      <c r="P41" s="19"/>
    </row>
    <row r="42" ht="15.75" customHeight="1">
      <c r="A42" s="1" t="s">
        <v>15</v>
      </c>
      <c r="B42" s="1" t="s">
        <v>133</v>
      </c>
      <c r="C42" s="1" t="s">
        <v>204</v>
      </c>
      <c r="D42" s="1" t="s">
        <v>134</v>
      </c>
      <c r="E42" s="1" t="s">
        <v>133</v>
      </c>
      <c r="F42" s="1" t="s">
        <v>126</v>
      </c>
      <c r="G42" s="2">
        <v>700.0</v>
      </c>
      <c r="H42" s="2">
        <v>0.0</v>
      </c>
      <c r="I42" s="2">
        <v>0.0</v>
      </c>
      <c r="J42" s="1">
        <v>700.0</v>
      </c>
      <c r="K42" s="3">
        <v>0.32</v>
      </c>
      <c r="L42" s="1">
        <v>700.0</v>
      </c>
      <c r="M42" s="1"/>
      <c r="N42" s="18"/>
      <c r="O42" s="19"/>
      <c r="P42" s="19"/>
    </row>
    <row r="43" ht="15.75" customHeight="1">
      <c r="A43" s="1" t="s">
        <v>15</v>
      </c>
      <c r="B43" s="1" t="s">
        <v>135</v>
      </c>
      <c r="C43" s="1" t="s">
        <v>204</v>
      </c>
      <c r="D43" s="1" t="s">
        <v>136</v>
      </c>
      <c r="E43" s="1" t="s">
        <v>135</v>
      </c>
      <c r="F43" s="1" t="s">
        <v>126</v>
      </c>
      <c r="G43" s="2">
        <v>19200.0</v>
      </c>
      <c r="H43" s="2">
        <v>0.0</v>
      </c>
      <c r="I43" s="2">
        <v>0.0</v>
      </c>
      <c r="J43" s="1">
        <v>19200.0</v>
      </c>
      <c r="K43" s="3">
        <v>0.26</v>
      </c>
      <c r="L43" s="1">
        <v>800.0</v>
      </c>
      <c r="M43" s="1"/>
      <c r="N43" s="18"/>
      <c r="O43" s="19"/>
      <c r="P43" s="19"/>
    </row>
    <row r="44" ht="15.75" customHeight="1">
      <c r="A44" s="1" t="s">
        <v>15</v>
      </c>
      <c r="B44" s="21" t="s">
        <v>137</v>
      </c>
      <c r="C44" s="1" t="s">
        <v>204</v>
      </c>
      <c r="D44" s="22" t="s">
        <v>138</v>
      </c>
      <c r="E44" s="1" t="s">
        <v>137</v>
      </c>
      <c r="F44" s="1" t="s">
        <v>126</v>
      </c>
      <c r="G44" s="2">
        <v>15600.0</v>
      </c>
      <c r="H44" s="2">
        <v>0.0</v>
      </c>
      <c r="I44" s="2">
        <v>0.0</v>
      </c>
      <c r="J44" s="1">
        <v>15600.0</v>
      </c>
      <c r="K44" s="3">
        <v>0.13</v>
      </c>
      <c r="L44" s="1">
        <v>1950.0</v>
      </c>
      <c r="M44" s="1"/>
      <c r="N44" s="23">
        <f>0.032*4.28</f>
        <v>0.13696</v>
      </c>
      <c r="O44" s="24">
        <f>0.0303*4.28</f>
        <v>0.129684</v>
      </c>
      <c r="P44" s="19"/>
    </row>
    <row r="45" ht="15.75" customHeight="1">
      <c r="A45" s="1" t="s">
        <v>15</v>
      </c>
      <c r="B45" s="1" t="s">
        <v>139</v>
      </c>
      <c r="C45" s="1" t="s">
        <v>204</v>
      </c>
      <c r="D45" s="22" t="s">
        <v>140</v>
      </c>
      <c r="E45" s="1" t="s">
        <v>139</v>
      </c>
      <c r="F45" s="1" t="s">
        <v>126</v>
      </c>
      <c r="G45" s="2">
        <v>0.0</v>
      </c>
      <c r="H45" s="2">
        <v>0.0</v>
      </c>
      <c r="I45" s="2">
        <v>0.0</v>
      </c>
      <c r="J45" s="1">
        <v>0.0</v>
      </c>
      <c r="K45" s="3">
        <v>0.11</v>
      </c>
      <c r="L45" s="1">
        <v>1950.0</v>
      </c>
      <c r="M45" s="1"/>
      <c r="N45" s="18">
        <f>0.0221*4.28</f>
        <v>0.094588</v>
      </c>
      <c r="O45" s="19"/>
      <c r="P45" s="19"/>
    </row>
    <row r="46" ht="15.75" customHeight="1">
      <c r="A46" s="1" t="s">
        <v>15</v>
      </c>
      <c r="B46" s="21" t="s">
        <v>141</v>
      </c>
      <c r="C46" s="1" t="s">
        <v>23</v>
      </c>
      <c r="D46" s="22" t="s">
        <v>30</v>
      </c>
      <c r="E46" s="1" t="s">
        <v>141</v>
      </c>
      <c r="F46" s="1" t="s">
        <v>126</v>
      </c>
      <c r="G46" s="2">
        <v>0.0</v>
      </c>
      <c r="H46" s="2">
        <v>0.0</v>
      </c>
      <c r="I46" s="2">
        <v>0.0</v>
      </c>
      <c r="J46" s="1">
        <v>0.0</v>
      </c>
      <c r="K46" s="3">
        <v>0.14</v>
      </c>
      <c r="L46" s="1">
        <v>1950.0</v>
      </c>
      <c r="M46" s="1"/>
      <c r="N46" s="23">
        <f>0.032*4.28</f>
        <v>0.13696</v>
      </c>
      <c r="O46" s="24">
        <f>0.0303*4.28</f>
        <v>0.129684</v>
      </c>
      <c r="P46" s="25">
        <v>700000.0</v>
      </c>
      <c r="Q46" s="26">
        <f>P46/P73</f>
        <v>0.3867403315</v>
      </c>
    </row>
    <row r="47" ht="15.75" customHeight="1">
      <c r="A47" s="1" t="s">
        <v>15</v>
      </c>
      <c r="B47" s="21" t="s">
        <v>142</v>
      </c>
      <c r="C47" s="1" t="s">
        <v>204</v>
      </c>
      <c r="D47" s="22" t="s">
        <v>143</v>
      </c>
      <c r="E47" s="1" t="s">
        <v>142</v>
      </c>
      <c r="F47" s="1" t="s">
        <v>126</v>
      </c>
      <c r="G47" s="2">
        <v>93600.0</v>
      </c>
      <c r="H47" s="2">
        <v>28300.0</v>
      </c>
      <c r="I47" s="2">
        <v>0.0</v>
      </c>
      <c r="J47" s="1">
        <v>121900.0</v>
      </c>
      <c r="K47" s="3">
        <v>0.12</v>
      </c>
      <c r="L47" s="1">
        <v>2600.0</v>
      </c>
      <c r="M47" s="1"/>
      <c r="N47" s="18"/>
      <c r="O47" s="19"/>
      <c r="P47" s="19"/>
      <c r="Q47" s="26"/>
    </row>
    <row r="48" ht="15.75" customHeight="1">
      <c r="A48" s="1" t="s">
        <v>15</v>
      </c>
      <c r="B48" s="1" t="s">
        <v>144</v>
      </c>
      <c r="C48" s="1" t="s">
        <v>204</v>
      </c>
      <c r="D48" s="1" t="s">
        <v>145</v>
      </c>
      <c r="E48" s="1" t="s">
        <v>144</v>
      </c>
      <c r="F48" s="1" t="s">
        <v>126</v>
      </c>
      <c r="G48" s="2">
        <v>17850.0</v>
      </c>
      <c r="H48" s="2">
        <v>0.0</v>
      </c>
      <c r="I48" s="2">
        <v>0.0</v>
      </c>
      <c r="J48" s="1">
        <v>17850.0</v>
      </c>
      <c r="K48" s="3">
        <v>0.14</v>
      </c>
      <c r="L48" s="1">
        <v>1275.0</v>
      </c>
      <c r="M48" s="1"/>
      <c r="N48" s="18"/>
      <c r="O48" s="19"/>
      <c r="P48" s="19"/>
      <c r="Q48" s="26"/>
    </row>
    <row r="49" ht="15.75" customHeight="1">
      <c r="A49" s="1" t="s">
        <v>15</v>
      </c>
      <c r="B49" s="21" t="s">
        <v>146</v>
      </c>
      <c r="C49" s="1" t="s">
        <v>23</v>
      </c>
      <c r="D49" s="22" t="s">
        <v>147</v>
      </c>
      <c r="E49" s="1" t="s">
        <v>146</v>
      </c>
      <c r="F49" s="1" t="s">
        <v>126</v>
      </c>
      <c r="G49" s="2">
        <v>0.0</v>
      </c>
      <c r="H49" s="2">
        <v>0.0</v>
      </c>
      <c r="I49" s="2">
        <v>0.0</v>
      </c>
      <c r="J49" s="1">
        <v>0.0</v>
      </c>
      <c r="K49" s="3">
        <v>0.19</v>
      </c>
      <c r="L49" s="1">
        <v>950.0</v>
      </c>
      <c r="M49" s="1"/>
      <c r="N49" s="18">
        <f>0.0466*4.28</f>
        <v>0.199448</v>
      </c>
      <c r="O49" s="27">
        <f>0.0459*4.28</f>
        <v>0.196452</v>
      </c>
      <c r="P49" s="25" t="s">
        <v>212</v>
      </c>
      <c r="Q49" s="26" t="str">
        <f>P49/P73</f>
        <v>#VALUE!</v>
      </c>
    </row>
    <row r="50" ht="15.75" customHeight="1">
      <c r="A50" s="1" t="s">
        <v>15</v>
      </c>
      <c r="B50" s="1" t="s">
        <v>148</v>
      </c>
      <c r="C50" s="1" t="s">
        <v>204</v>
      </c>
      <c r="D50" s="22" t="s">
        <v>149</v>
      </c>
      <c r="E50" s="1" t="s">
        <v>148</v>
      </c>
      <c r="F50" s="1" t="s">
        <v>126</v>
      </c>
      <c r="G50" s="2">
        <v>0.0</v>
      </c>
      <c r="H50" s="2">
        <v>0.0</v>
      </c>
      <c r="I50" s="2">
        <v>0.0</v>
      </c>
      <c r="J50" s="1">
        <v>0.0</v>
      </c>
      <c r="K50" s="3">
        <v>0.15</v>
      </c>
      <c r="L50" s="1">
        <v>950.0</v>
      </c>
      <c r="M50" s="1"/>
      <c r="N50" s="18">
        <f>0.033*4.28</f>
        <v>0.14124</v>
      </c>
      <c r="O50" s="19"/>
      <c r="P50" s="19"/>
      <c r="Q50" s="26"/>
    </row>
    <row r="51" ht="15.75" customHeight="1">
      <c r="A51" s="1" t="s">
        <v>15</v>
      </c>
      <c r="B51" s="21" t="s">
        <v>150</v>
      </c>
      <c r="C51" s="1" t="s">
        <v>23</v>
      </c>
      <c r="D51" s="22" t="s">
        <v>151</v>
      </c>
      <c r="E51" s="1" t="s">
        <v>152</v>
      </c>
      <c r="F51" s="1" t="s">
        <v>126</v>
      </c>
      <c r="G51" s="2">
        <v>5600.0</v>
      </c>
      <c r="H51" s="2">
        <v>5600.0</v>
      </c>
      <c r="I51" s="2">
        <v>0.0</v>
      </c>
      <c r="J51" s="1">
        <v>16800.0</v>
      </c>
      <c r="K51" s="3">
        <v>0.35</v>
      </c>
      <c r="L51" s="1">
        <v>700.0</v>
      </c>
      <c r="M51" s="1"/>
      <c r="N51" s="18">
        <f>0.0821*4.28</f>
        <v>0.351388</v>
      </c>
      <c r="O51" s="28"/>
      <c r="P51" s="28" t="s">
        <v>213</v>
      </c>
      <c r="Q51" s="26"/>
    </row>
    <row r="52" ht="15.75" customHeight="1">
      <c r="A52" s="1" t="s">
        <v>15</v>
      </c>
      <c r="B52" s="21" t="s">
        <v>153</v>
      </c>
      <c r="C52" s="1" t="s">
        <v>23</v>
      </c>
      <c r="D52" s="22" t="s">
        <v>154</v>
      </c>
      <c r="E52" s="1" t="s">
        <v>153</v>
      </c>
      <c r="F52" s="1" t="s">
        <v>126</v>
      </c>
      <c r="G52" s="2">
        <v>0.0</v>
      </c>
      <c r="H52" s="2">
        <v>0.0</v>
      </c>
      <c r="I52" s="2">
        <v>0.0</v>
      </c>
      <c r="J52" s="1">
        <v>0.0</v>
      </c>
      <c r="K52" s="3">
        <v>0.2</v>
      </c>
      <c r="L52" s="1">
        <v>950.0</v>
      </c>
      <c r="M52" s="1"/>
      <c r="N52" s="18">
        <f>0.0447*4.28</f>
        <v>0.191316</v>
      </c>
      <c r="O52" s="29">
        <f>0.044*4.28</f>
        <v>0.18832</v>
      </c>
      <c r="P52" s="25">
        <v>150000.0</v>
      </c>
      <c r="Q52" s="26">
        <f>P52/P73</f>
        <v>0.08287292818</v>
      </c>
    </row>
    <row r="53" ht="15.75" customHeight="1">
      <c r="A53" s="1" t="s">
        <v>15</v>
      </c>
      <c r="B53" s="1" t="s">
        <v>155</v>
      </c>
      <c r="C53" s="1" t="s">
        <v>204</v>
      </c>
      <c r="D53" s="1" t="s">
        <v>156</v>
      </c>
      <c r="E53" s="1" t="s">
        <v>155</v>
      </c>
      <c r="F53" s="1" t="s">
        <v>126</v>
      </c>
      <c r="G53" s="2">
        <v>0.0</v>
      </c>
      <c r="H53" s="2">
        <v>0.0</v>
      </c>
      <c r="I53" s="2">
        <v>0.0</v>
      </c>
      <c r="J53" s="1">
        <v>0.0</v>
      </c>
      <c r="K53" s="3">
        <v>0.27</v>
      </c>
      <c r="L53" s="1">
        <v>950.0</v>
      </c>
      <c r="M53" s="1"/>
      <c r="N53" s="18"/>
      <c r="O53" s="19"/>
      <c r="P53" s="19"/>
      <c r="Q53" s="26"/>
    </row>
    <row r="54" ht="15.75" customHeight="1">
      <c r="A54" s="1" t="s">
        <v>15</v>
      </c>
      <c r="B54" s="1" t="s">
        <v>157</v>
      </c>
      <c r="C54" s="1" t="s">
        <v>204</v>
      </c>
      <c r="D54" s="1" t="s">
        <v>158</v>
      </c>
      <c r="E54" s="1" t="s">
        <v>157</v>
      </c>
      <c r="F54" s="1" t="s">
        <v>126</v>
      </c>
      <c r="G54" s="2">
        <v>0.0</v>
      </c>
      <c r="H54" s="2">
        <v>0.0</v>
      </c>
      <c r="I54" s="2">
        <v>0.0</v>
      </c>
      <c r="J54" s="1">
        <v>0.0</v>
      </c>
      <c r="K54" s="3">
        <v>0.14</v>
      </c>
      <c r="L54" s="1">
        <v>1400.0</v>
      </c>
      <c r="M54" s="1"/>
      <c r="N54" s="18"/>
      <c r="O54" s="19"/>
      <c r="P54" s="19"/>
      <c r="Q54" s="26"/>
    </row>
    <row r="55" ht="15.75" customHeight="1">
      <c r="A55" s="1" t="s">
        <v>15</v>
      </c>
      <c r="B55" s="1" t="s">
        <v>159</v>
      </c>
      <c r="C55" s="1" t="s">
        <v>23</v>
      </c>
      <c r="D55" s="1" t="s">
        <v>160</v>
      </c>
      <c r="E55" s="1" t="s">
        <v>159</v>
      </c>
      <c r="F55" s="1" t="s">
        <v>126</v>
      </c>
      <c r="G55" s="2">
        <v>0.0</v>
      </c>
      <c r="H55" s="2">
        <v>0.0</v>
      </c>
      <c r="I55" s="2">
        <v>0.0</v>
      </c>
      <c r="J55" s="1">
        <v>0.0</v>
      </c>
      <c r="K55" s="3">
        <v>0.0</v>
      </c>
      <c r="L55" s="1">
        <v>1400.0</v>
      </c>
      <c r="M55" s="1"/>
      <c r="N55" s="18"/>
      <c r="O55" s="19"/>
      <c r="P55" s="19"/>
      <c r="Q55" s="26"/>
    </row>
    <row r="56" ht="15.75" customHeight="1">
      <c r="A56" s="1" t="s">
        <v>15</v>
      </c>
      <c r="B56" s="21" t="s">
        <v>161</v>
      </c>
      <c r="C56" s="1" t="s">
        <v>23</v>
      </c>
      <c r="D56" s="22" t="s">
        <v>162</v>
      </c>
      <c r="E56" s="1" t="s">
        <v>161</v>
      </c>
      <c r="F56" s="1" t="s">
        <v>126</v>
      </c>
      <c r="G56" s="2">
        <v>0.0</v>
      </c>
      <c r="H56" s="2">
        <v>0.0</v>
      </c>
      <c r="I56" s="2">
        <v>0.0</v>
      </c>
      <c r="J56" s="1">
        <v>0.0</v>
      </c>
      <c r="K56" s="3">
        <v>0.17</v>
      </c>
      <c r="L56" s="1">
        <v>1400.0</v>
      </c>
      <c r="M56" s="1"/>
      <c r="N56" s="18">
        <f>0.0422*4.28</f>
        <v>0.180616</v>
      </c>
      <c r="O56" s="28">
        <f>0.0412*4.28</f>
        <v>0.176336</v>
      </c>
      <c r="P56" s="28" t="s">
        <v>214</v>
      </c>
      <c r="Q56" s="26"/>
    </row>
    <row r="57" ht="15.75" customHeight="1">
      <c r="A57" s="1" t="s">
        <v>15</v>
      </c>
      <c r="B57" s="1" t="s">
        <v>163</v>
      </c>
      <c r="C57" s="1" t="s">
        <v>23</v>
      </c>
      <c r="D57" s="1" t="s">
        <v>164</v>
      </c>
      <c r="E57" s="1" t="s">
        <v>163</v>
      </c>
      <c r="F57" s="1" t="s">
        <v>126</v>
      </c>
      <c r="G57" s="2">
        <v>0.0</v>
      </c>
      <c r="H57" s="2">
        <v>0.0</v>
      </c>
      <c r="I57" s="2">
        <v>0.0</v>
      </c>
      <c r="J57" s="1">
        <v>0.0</v>
      </c>
      <c r="K57" s="3">
        <v>0.15</v>
      </c>
      <c r="L57" s="1">
        <v>750.0</v>
      </c>
      <c r="M57" s="1"/>
      <c r="N57" s="18"/>
      <c r="O57" s="19"/>
      <c r="P57" s="19"/>
      <c r="Q57" s="26"/>
    </row>
    <row r="58" ht="15.75" customHeight="1">
      <c r="A58" s="1" t="s">
        <v>15</v>
      </c>
      <c r="B58" s="1" t="s">
        <v>165</v>
      </c>
      <c r="C58" s="1" t="s">
        <v>204</v>
      </c>
      <c r="D58" s="22" t="s">
        <v>166</v>
      </c>
      <c r="E58" s="1" t="s">
        <v>165</v>
      </c>
      <c r="F58" s="1" t="s">
        <v>126</v>
      </c>
      <c r="G58" s="2">
        <v>0.0</v>
      </c>
      <c r="H58" s="2">
        <v>0.0</v>
      </c>
      <c r="I58" s="2">
        <v>0.0</v>
      </c>
      <c r="J58" s="1">
        <v>0.0</v>
      </c>
      <c r="K58" s="3">
        <v>0.0</v>
      </c>
      <c r="L58" s="1">
        <v>1300.0</v>
      </c>
      <c r="M58" s="1"/>
      <c r="N58" s="18"/>
      <c r="O58" s="19"/>
      <c r="P58" s="19"/>
      <c r="Q58" s="26"/>
    </row>
    <row r="59" ht="15.75" customHeight="1">
      <c r="A59" s="1" t="s">
        <v>15</v>
      </c>
      <c r="B59" s="21" t="s">
        <v>167</v>
      </c>
      <c r="C59" s="1" t="s">
        <v>204</v>
      </c>
      <c r="D59" s="22" t="s">
        <v>168</v>
      </c>
      <c r="E59" s="1" t="s">
        <v>167</v>
      </c>
      <c r="F59" s="1" t="s">
        <v>126</v>
      </c>
      <c r="G59" s="2">
        <v>0.0</v>
      </c>
      <c r="H59" s="2">
        <v>39000.0</v>
      </c>
      <c r="I59" s="2">
        <v>0.0</v>
      </c>
      <c r="J59" s="1">
        <v>39000.0</v>
      </c>
      <c r="K59" s="3">
        <v>0.15</v>
      </c>
      <c r="L59" s="1">
        <v>750.0</v>
      </c>
      <c r="M59" s="1"/>
      <c r="N59" s="18">
        <f t="shared" ref="N59:N60" si="1">0.0365*4.28</f>
        <v>0.15622</v>
      </c>
      <c r="O59" s="19"/>
      <c r="P59" s="19"/>
      <c r="Q59" s="26"/>
    </row>
    <row r="60" ht="15.75" customHeight="1">
      <c r="A60" s="1" t="s">
        <v>15</v>
      </c>
      <c r="B60" s="1" t="s">
        <v>169</v>
      </c>
      <c r="C60" s="1" t="s">
        <v>204</v>
      </c>
      <c r="D60" s="22" t="s">
        <v>170</v>
      </c>
      <c r="E60" s="1" t="s">
        <v>169</v>
      </c>
      <c r="F60" s="1" t="s">
        <v>126</v>
      </c>
      <c r="G60" s="2">
        <v>0.0</v>
      </c>
      <c r="H60" s="2">
        <v>0.0</v>
      </c>
      <c r="I60" s="2">
        <v>0.0</v>
      </c>
      <c r="J60" s="1">
        <v>0.0</v>
      </c>
      <c r="K60" s="3">
        <v>0.17</v>
      </c>
      <c r="L60" s="1">
        <v>750.0</v>
      </c>
      <c r="M60" s="1"/>
      <c r="N60" s="18">
        <f t="shared" si="1"/>
        <v>0.15622</v>
      </c>
      <c r="O60" s="19"/>
      <c r="P60" s="19"/>
      <c r="Q60" s="26"/>
    </row>
    <row r="61" ht="15.75" customHeight="1">
      <c r="A61" s="1" t="s">
        <v>15</v>
      </c>
      <c r="B61" s="21" t="s">
        <v>171</v>
      </c>
      <c r="C61" s="1" t="s">
        <v>204</v>
      </c>
      <c r="D61" s="22" t="s">
        <v>172</v>
      </c>
      <c r="E61" s="1" t="s">
        <v>173</v>
      </c>
      <c r="F61" s="1" t="s">
        <v>126</v>
      </c>
      <c r="G61" s="2">
        <v>0.0</v>
      </c>
      <c r="H61" s="2">
        <v>0.0</v>
      </c>
      <c r="I61" s="2">
        <v>4705.0</v>
      </c>
      <c r="J61" s="1">
        <v>4705.0</v>
      </c>
      <c r="K61" s="3">
        <v>0.12</v>
      </c>
      <c r="L61" s="1">
        <v>770.0</v>
      </c>
      <c r="M61" s="1"/>
      <c r="N61" s="18">
        <f>0.0268*4.28</f>
        <v>0.114704</v>
      </c>
      <c r="O61" s="25"/>
      <c r="P61" s="25">
        <v>700000.0</v>
      </c>
      <c r="Q61" s="26">
        <f>P61/P73</f>
        <v>0.3867403315</v>
      </c>
    </row>
    <row r="62" ht="15.75" customHeight="1">
      <c r="A62" s="1" t="s">
        <v>15</v>
      </c>
      <c r="B62" s="21" t="s">
        <v>174</v>
      </c>
      <c r="C62" s="1" t="s">
        <v>204</v>
      </c>
      <c r="D62" s="22" t="s">
        <v>175</v>
      </c>
      <c r="E62" s="1" t="s">
        <v>215</v>
      </c>
      <c r="F62" s="1" t="s">
        <v>126</v>
      </c>
      <c r="G62" s="2">
        <v>11000.0</v>
      </c>
      <c r="H62" s="2">
        <v>6000.0</v>
      </c>
      <c r="I62" s="2">
        <v>0.0</v>
      </c>
      <c r="J62" s="1">
        <v>20000.0</v>
      </c>
      <c r="K62" s="3">
        <v>0.31</v>
      </c>
      <c r="L62" s="1">
        <v>500.0</v>
      </c>
      <c r="M62" s="1"/>
      <c r="N62" s="18">
        <f>0.067*4.28</f>
        <v>0.28676</v>
      </c>
      <c r="O62" s="19"/>
      <c r="P62" s="19"/>
      <c r="Q62" s="26"/>
    </row>
    <row r="63" ht="15.75" customHeight="1">
      <c r="A63" s="1" t="s">
        <v>15</v>
      </c>
      <c r="B63" s="21" t="s">
        <v>177</v>
      </c>
      <c r="C63" s="1" t="s">
        <v>204</v>
      </c>
      <c r="D63" s="22" t="s">
        <v>178</v>
      </c>
      <c r="E63" s="1" t="s">
        <v>177</v>
      </c>
      <c r="F63" s="1" t="s">
        <v>126</v>
      </c>
      <c r="G63" s="2">
        <v>79300.0</v>
      </c>
      <c r="H63" s="2">
        <v>58500.0</v>
      </c>
      <c r="I63" s="2">
        <v>0.0</v>
      </c>
      <c r="J63" s="1">
        <v>137800.0</v>
      </c>
      <c r="K63" s="3">
        <v>0.1</v>
      </c>
      <c r="L63" s="1">
        <v>1300.0</v>
      </c>
      <c r="M63" s="1"/>
      <c r="N63" s="18"/>
      <c r="O63" s="19"/>
      <c r="P63" s="19"/>
      <c r="Q63" s="26"/>
    </row>
    <row r="64" ht="15.75" customHeight="1">
      <c r="A64" s="1" t="s">
        <v>15</v>
      </c>
      <c r="B64" s="1" t="s">
        <v>179</v>
      </c>
      <c r="C64" s="1" t="s">
        <v>204</v>
      </c>
      <c r="D64" s="1" t="s">
        <v>180</v>
      </c>
      <c r="E64" s="1" t="s">
        <v>179</v>
      </c>
      <c r="F64" s="1" t="s">
        <v>126</v>
      </c>
      <c r="G64" s="2">
        <v>0.0</v>
      </c>
      <c r="H64" s="2">
        <v>0.0</v>
      </c>
      <c r="I64" s="2">
        <v>0.0</v>
      </c>
      <c r="J64" s="1">
        <v>0.0</v>
      </c>
      <c r="K64" s="3">
        <v>0.16</v>
      </c>
      <c r="L64" s="1">
        <v>800.0</v>
      </c>
      <c r="M64" s="1"/>
      <c r="N64" s="18">
        <f>0.0365*4.28</f>
        <v>0.15622</v>
      </c>
      <c r="O64" s="25"/>
      <c r="P64" s="25">
        <v>240000.0</v>
      </c>
      <c r="Q64" s="26">
        <f>P64/P73</f>
        <v>0.1325966851</v>
      </c>
    </row>
    <row r="65" ht="15.75" customHeight="1">
      <c r="A65" s="1" t="s">
        <v>15</v>
      </c>
      <c r="B65" s="1" t="s">
        <v>181</v>
      </c>
      <c r="C65" s="1" t="s">
        <v>204</v>
      </c>
      <c r="D65" s="1" t="s">
        <v>182</v>
      </c>
      <c r="E65" s="1" t="s">
        <v>181</v>
      </c>
      <c r="F65" s="1" t="s">
        <v>126</v>
      </c>
      <c r="G65" s="2">
        <v>0.0</v>
      </c>
      <c r="H65" s="2">
        <v>0.0</v>
      </c>
      <c r="I65" s="2">
        <v>0.0</v>
      </c>
      <c r="J65" s="1">
        <v>0.0</v>
      </c>
      <c r="K65" s="3">
        <v>0.14</v>
      </c>
      <c r="L65" s="1">
        <v>1300.0</v>
      </c>
      <c r="M65" s="1"/>
      <c r="N65" s="18"/>
      <c r="O65" s="19"/>
      <c r="P65" s="19"/>
      <c r="Q65" s="26"/>
    </row>
    <row r="66" ht="15.75" customHeight="1">
      <c r="A66" s="1" t="s">
        <v>15</v>
      </c>
      <c r="B66" s="1" t="s">
        <v>183</v>
      </c>
      <c r="C66" s="1" t="s">
        <v>204</v>
      </c>
      <c r="D66" s="1" t="s">
        <v>184</v>
      </c>
      <c r="E66" s="1"/>
      <c r="F66" s="1" t="s">
        <v>185</v>
      </c>
      <c r="G66" s="2">
        <v>5400.0</v>
      </c>
      <c r="H66" s="2">
        <v>0.0</v>
      </c>
      <c r="I66" s="2">
        <v>2000.0</v>
      </c>
      <c r="J66" s="1">
        <v>7400.0</v>
      </c>
      <c r="K66" s="3">
        <v>0.25</v>
      </c>
      <c r="L66" s="1">
        <v>21600.0</v>
      </c>
      <c r="M66" s="1"/>
      <c r="N66" s="1"/>
      <c r="O66" s="19"/>
      <c r="P66" s="19"/>
      <c r="Q66" s="26"/>
    </row>
    <row r="67" ht="15.75" customHeight="1">
      <c r="A67" s="1" t="s">
        <v>15</v>
      </c>
      <c r="B67" s="1" t="s">
        <v>186</v>
      </c>
      <c r="C67" s="1" t="s">
        <v>204</v>
      </c>
      <c r="D67" s="1" t="s">
        <v>187</v>
      </c>
      <c r="E67" s="1"/>
      <c r="F67" s="1" t="s">
        <v>185</v>
      </c>
      <c r="G67" s="2">
        <v>0.0</v>
      </c>
      <c r="H67" s="2">
        <v>0.0</v>
      </c>
      <c r="I67" s="2">
        <v>0.0</v>
      </c>
      <c r="J67" s="1">
        <v>0.0</v>
      </c>
      <c r="K67" s="3">
        <v>0.3</v>
      </c>
      <c r="L67" s="1">
        <v>12000.0</v>
      </c>
      <c r="M67" s="1"/>
      <c r="N67" s="1"/>
      <c r="O67" s="19"/>
      <c r="P67" s="19"/>
      <c r="Q67" s="26"/>
    </row>
    <row r="68" ht="15.75" customHeight="1">
      <c r="A68" s="1" t="s">
        <v>15</v>
      </c>
      <c r="B68" s="1" t="s">
        <v>188</v>
      </c>
      <c r="C68" s="1" t="s">
        <v>204</v>
      </c>
      <c r="D68" s="1" t="s">
        <v>189</v>
      </c>
      <c r="E68" s="1" t="s">
        <v>190</v>
      </c>
      <c r="F68" s="1" t="s">
        <v>191</v>
      </c>
      <c r="G68" s="2">
        <v>0.0</v>
      </c>
      <c r="H68" s="2">
        <v>4160.0</v>
      </c>
      <c r="I68" s="2">
        <v>0.0</v>
      </c>
      <c r="J68" s="1">
        <v>4160.0</v>
      </c>
      <c r="K68" s="3">
        <v>0.59</v>
      </c>
      <c r="L68" s="1">
        <v>4160.0</v>
      </c>
      <c r="M68" s="1"/>
      <c r="N68" s="1"/>
      <c r="O68" s="19"/>
      <c r="P68" s="19"/>
      <c r="Q68" s="26"/>
    </row>
    <row r="69" ht="15.75" customHeight="1">
      <c r="A69" s="1" t="s">
        <v>15</v>
      </c>
      <c r="B69" s="1" t="s">
        <v>192</v>
      </c>
      <c r="C69" s="1" t="s">
        <v>204</v>
      </c>
      <c r="D69" s="1" t="s">
        <v>193</v>
      </c>
      <c r="E69" s="1" t="s">
        <v>193</v>
      </c>
      <c r="F69" s="1" t="s">
        <v>191</v>
      </c>
      <c r="G69" s="2">
        <v>0.0</v>
      </c>
      <c r="H69" s="2">
        <v>0.0</v>
      </c>
      <c r="I69" s="2">
        <v>0.0</v>
      </c>
      <c r="J69" s="1">
        <v>0.0</v>
      </c>
      <c r="K69" s="3">
        <v>0.53</v>
      </c>
      <c r="L69" s="1">
        <v>4800.0</v>
      </c>
      <c r="M69" s="1"/>
      <c r="N69" s="1"/>
      <c r="O69" s="25"/>
      <c r="P69" s="25">
        <v>20000.0</v>
      </c>
      <c r="Q69" s="26">
        <f>P69/P73</f>
        <v>0.01104972376</v>
      </c>
    </row>
    <row r="70" ht="15.75" customHeight="1">
      <c r="A70" s="1" t="s">
        <v>15</v>
      </c>
      <c r="B70" s="1" t="s">
        <v>194</v>
      </c>
      <c r="C70" s="1" t="s">
        <v>204</v>
      </c>
      <c r="D70" s="1" t="s">
        <v>195</v>
      </c>
      <c r="E70" s="1" t="s">
        <v>194</v>
      </c>
      <c r="F70" s="1" t="s">
        <v>191</v>
      </c>
      <c r="G70" s="2">
        <v>8960.0</v>
      </c>
      <c r="H70" s="2">
        <v>13350.0</v>
      </c>
      <c r="I70" s="2">
        <v>0.0</v>
      </c>
      <c r="J70" s="1">
        <v>22310.0</v>
      </c>
      <c r="K70" s="3">
        <v>0.56</v>
      </c>
      <c r="L70" s="1">
        <v>4480.0</v>
      </c>
      <c r="M70" s="1"/>
      <c r="N70" s="1"/>
      <c r="O70" s="19"/>
      <c r="P70" s="19"/>
    </row>
    <row r="71" ht="15.75" customHeight="1">
      <c r="A71" s="1"/>
      <c r="B71" s="1"/>
      <c r="C71" s="1"/>
      <c r="D71" s="1"/>
      <c r="E71" s="1"/>
      <c r="F71" s="1"/>
      <c r="G71" s="2"/>
      <c r="H71" s="2"/>
      <c r="I71" s="2"/>
      <c r="J71" s="1"/>
      <c r="K71" s="3"/>
      <c r="L71" s="1"/>
      <c r="M71" s="1"/>
      <c r="N71" s="18"/>
      <c r="O71" s="19"/>
      <c r="P71" s="19"/>
    </row>
    <row r="72" ht="15.75" customHeight="1">
      <c r="G72" s="5"/>
      <c r="H72" s="5"/>
      <c r="I72" s="5"/>
      <c r="K72" s="6"/>
    </row>
    <row r="73" ht="15.75" customHeight="1">
      <c r="G73" s="5"/>
      <c r="H73" s="5"/>
      <c r="I73" s="5"/>
      <c r="K73" s="6"/>
      <c r="P73" s="30">
        <f>SUM(P3:P70)</f>
        <v>1810000</v>
      </c>
    </row>
    <row r="74" ht="15.75" customHeight="1">
      <c r="G74" s="5"/>
      <c r="H74" s="5"/>
      <c r="I74" s="5"/>
      <c r="K74" s="6"/>
    </row>
    <row r="75" ht="15.75" customHeight="1">
      <c r="G75" s="5"/>
      <c r="H75" s="5"/>
      <c r="I75" s="5"/>
      <c r="K75" s="6"/>
    </row>
    <row r="76" ht="15.75" customHeight="1">
      <c r="G76" s="5"/>
      <c r="H76" s="5"/>
      <c r="I76" s="5"/>
      <c r="K76" s="6"/>
    </row>
    <row r="77" ht="15.75" customHeight="1">
      <c r="G77" s="5"/>
      <c r="H77" s="5"/>
      <c r="I77" s="5"/>
      <c r="K77" s="6"/>
    </row>
    <row r="78" ht="15.75" customHeight="1">
      <c r="G78" s="5"/>
      <c r="H78" s="5"/>
      <c r="I78" s="5"/>
      <c r="K78" s="6"/>
    </row>
    <row r="79" ht="15.75" customHeight="1">
      <c r="G79" s="5"/>
      <c r="H79" s="5"/>
      <c r="I79" s="5"/>
      <c r="K79" s="6"/>
    </row>
    <row r="80" ht="15.75" customHeight="1">
      <c r="G80" s="5"/>
      <c r="H80" s="5"/>
      <c r="I80" s="5"/>
      <c r="K80" s="6"/>
    </row>
    <row r="81" ht="15.75" customHeight="1">
      <c r="G81" s="5"/>
      <c r="H81" s="5"/>
      <c r="I81" s="5"/>
      <c r="K81" s="6"/>
    </row>
    <row r="82" ht="15.75" customHeight="1">
      <c r="G82" s="5"/>
      <c r="H82" s="5"/>
      <c r="I82" s="5"/>
      <c r="K82" s="6"/>
    </row>
    <row r="83" ht="15.75" customHeight="1">
      <c r="G83" s="5"/>
      <c r="H83" s="5"/>
      <c r="I83" s="5"/>
      <c r="K83" s="6"/>
    </row>
    <row r="84" ht="15.75" customHeight="1">
      <c r="G84" s="5"/>
      <c r="H84" s="5"/>
      <c r="I84" s="5"/>
      <c r="K84" s="6"/>
    </row>
    <row r="85" ht="15.75" customHeight="1">
      <c r="G85" s="5"/>
      <c r="H85" s="5"/>
      <c r="I85" s="5"/>
      <c r="K85" s="6"/>
    </row>
    <row r="86" ht="15.75" customHeight="1">
      <c r="G86" s="5"/>
      <c r="H86" s="5"/>
      <c r="I86" s="5"/>
      <c r="K86" s="6"/>
    </row>
    <row r="87" ht="15.75" customHeight="1">
      <c r="G87" s="5"/>
      <c r="H87" s="5"/>
      <c r="I87" s="5"/>
      <c r="K87" s="6"/>
    </row>
    <row r="88" ht="15.75" customHeight="1">
      <c r="G88" s="5"/>
      <c r="H88" s="5"/>
      <c r="I88" s="5"/>
      <c r="K88" s="6"/>
    </row>
    <row r="89" ht="15.75" customHeight="1">
      <c r="G89" s="5"/>
      <c r="H89" s="5"/>
      <c r="I89" s="5"/>
      <c r="K89" s="6"/>
    </row>
    <row r="90" ht="15.75" customHeight="1">
      <c r="G90" s="5"/>
      <c r="H90" s="5"/>
      <c r="I90" s="5"/>
      <c r="K90" s="6"/>
    </row>
    <row r="91" ht="15.75" customHeight="1">
      <c r="G91" s="5"/>
      <c r="H91" s="5"/>
      <c r="I91" s="5"/>
      <c r="K91" s="6"/>
    </row>
    <row r="92" ht="15.75" customHeight="1">
      <c r="G92" s="5"/>
      <c r="H92" s="5"/>
      <c r="I92" s="5"/>
      <c r="K92" s="6"/>
    </row>
    <row r="93" ht="15.75" customHeight="1">
      <c r="G93" s="5"/>
      <c r="H93" s="5"/>
      <c r="I93" s="5"/>
      <c r="K93" s="6"/>
    </row>
    <row r="94" ht="15.75" customHeight="1">
      <c r="G94" s="5"/>
      <c r="H94" s="5"/>
      <c r="I94" s="5"/>
      <c r="K94" s="6"/>
    </row>
    <row r="95" ht="15.75" customHeight="1">
      <c r="G95" s="5"/>
      <c r="H95" s="5"/>
      <c r="I95" s="5"/>
      <c r="K95" s="6"/>
    </row>
    <row r="96" ht="15.75" customHeight="1">
      <c r="G96" s="5"/>
      <c r="H96" s="5"/>
      <c r="I96" s="5"/>
      <c r="K96" s="6"/>
    </row>
    <row r="97" ht="15.75" customHeight="1">
      <c r="G97" s="5"/>
      <c r="H97" s="5"/>
      <c r="I97" s="5"/>
      <c r="K97" s="6"/>
    </row>
    <row r="98" ht="15.75" customHeight="1">
      <c r="G98" s="5"/>
      <c r="H98" s="5"/>
      <c r="I98" s="5"/>
      <c r="K98" s="6"/>
    </row>
    <row r="99" ht="15.75" customHeight="1">
      <c r="G99" s="5"/>
      <c r="H99" s="5"/>
      <c r="I99" s="5"/>
      <c r="K99" s="6"/>
    </row>
    <row r="100" ht="15.75" customHeight="1">
      <c r="G100" s="5"/>
      <c r="H100" s="5"/>
      <c r="I100" s="5"/>
      <c r="K100" s="6"/>
    </row>
    <row r="101" ht="15.75" customHeight="1">
      <c r="G101" s="5"/>
      <c r="H101" s="5"/>
      <c r="I101" s="5"/>
      <c r="K101" s="6"/>
    </row>
    <row r="102" ht="15.75" customHeight="1">
      <c r="G102" s="5"/>
      <c r="H102" s="5"/>
      <c r="I102" s="5"/>
      <c r="K102" s="6"/>
    </row>
    <row r="103" ht="15.75" customHeight="1">
      <c r="G103" s="5"/>
      <c r="H103" s="5"/>
      <c r="I103" s="5"/>
      <c r="K103" s="6"/>
    </row>
    <row r="104" ht="15.75" customHeight="1">
      <c r="G104" s="5"/>
      <c r="H104" s="5"/>
      <c r="I104" s="5"/>
      <c r="K104" s="6"/>
    </row>
    <row r="105" ht="15.75" customHeight="1">
      <c r="G105" s="5"/>
      <c r="H105" s="5"/>
      <c r="I105" s="5"/>
      <c r="K105" s="6"/>
    </row>
    <row r="106" ht="15.75" customHeight="1">
      <c r="G106" s="5"/>
      <c r="H106" s="5"/>
      <c r="I106" s="5"/>
      <c r="K106" s="6"/>
    </row>
    <row r="107" ht="15.75" customHeight="1">
      <c r="G107" s="5"/>
      <c r="H107" s="5"/>
      <c r="I107" s="5"/>
      <c r="K107" s="6"/>
    </row>
    <row r="108" ht="15.75" customHeight="1">
      <c r="G108" s="5"/>
      <c r="H108" s="5"/>
      <c r="I108" s="5"/>
      <c r="K108" s="6"/>
    </row>
    <row r="109" ht="15.75" customHeight="1">
      <c r="G109" s="5"/>
      <c r="H109" s="5"/>
      <c r="I109" s="5"/>
      <c r="K109" s="6"/>
    </row>
    <row r="110" ht="15.75" customHeight="1">
      <c r="G110" s="5"/>
      <c r="H110" s="5"/>
      <c r="I110" s="5"/>
      <c r="K110" s="6"/>
    </row>
    <row r="111" ht="15.75" customHeight="1">
      <c r="G111" s="5"/>
      <c r="H111" s="5"/>
      <c r="I111" s="5"/>
      <c r="K111" s="6"/>
    </row>
    <row r="112" ht="15.75" customHeight="1">
      <c r="G112" s="5"/>
      <c r="H112" s="5"/>
      <c r="I112" s="5"/>
      <c r="K112" s="6"/>
    </row>
    <row r="113" ht="15.75" customHeight="1">
      <c r="G113" s="5"/>
      <c r="H113" s="5"/>
      <c r="I113" s="5"/>
      <c r="K113" s="6"/>
    </row>
    <row r="114" ht="15.75" customHeight="1">
      <c r="G114" s="5"/>
      <c r="H114" s="5"/>
      <c r="I114" s="5"/>
      <c r="K114" s="6"/>
    </row>
    <row r="115" ht="15.75" customHeight="1">
      <c r="G115" s="5"/>
      <c r="H115" s="5"/>
      <c r="I115" s="5"/>
      <c r="K115" s="6"/>
    </row>
    <row r="116" ht="15.75" customHeight="1">
      <c r="G116" s="5"/>
      <c r="H116" s="5"/>
      <c r="I116" s="5"/>
      <c r="K116" s="6"/>
    </row>
    <row r="117" ht="15.75" customHeight="1">
      <c r="G117" s="5"/>
      <c r="H117" s="5"/>
      <c r="I117" s="5"/>
      <c r="K117" s="6"/>
    </row>
    <row r="118" ht="15.75" customHeight="1">
      <c r="G118" s="5"/>
      <c r="H118" s="5"/>
      <c r="I118" s="5"/>
      <c r="K118" s="6"/>
    </row>
    <row r="119" ht="15.75" customHeight="1">
      <c r="G119" s="5"/>
      <c r="H119" s="5"/>
      <c r="I119" s="5"/>
      <c r="K119" s="6"/>
    </row>
    <row r="120" ht="15.75" customHeight="1">
      <c r="G120" s="5"/>
      <c r="H120" s="5"/>
      <c r="I120" s="5"/>
      <c r="K120" s="6"/>
    </row>
    <row r="121" ht="15.75" customHeight="1">
      <c r="G121" s="5"/>
      <c r="H121" s="5"/>
      <c r="I121" s="5"/>
      <c r="K121" s="6"/>
    </row>
    <row r="122" ht="15.75" customHeight="1">
      <c r="G122" s="5"/>
      <c r="H122" s="5"/>
      <c r="I122" s="5"/>
      <c r="K122" s="6"/>
    </row>
    <row r="123" ht="15.75" customHeight="1">
      <c r="G123" s="5"/>
      <c r="H123" s="5"/>
      <c r="I123" s="5"/>
      <c r="K123" s="6"/>
    </row>
    <row r="124" ht="15.75" customHeight="1">
      <c r="G124" s="5"/>
      <c r="H124" s="5"/>
      <c r="I124" s="5"/>
      <c r="K124" s="6"/>
    </row>
    <row r="125" ht="15.75" customHeight="1">
      <c r="G125" s="5"/>
      <c r="H125" s="5"/>
      <c r="I125" s="5"/>
      <c r="K125" s="6"/>
    </row>
    <row r="126" ht="15.75" customHeight="1">
      <c r="G126" s="5"/>
      <c r="H126" s="5"/>
      <c r="I126" s="5"/>
      <c r="K126" s="6"/>
    </row>
    <row r="127" ht="15.75" customHeight="1">
      <c r="G127" s="5"/>
      <c r="H127" s="5"/>
      <c r="I127" s="5"/>
      <c r="K127" s="6"/>
    </row>
    <row r="128" ht="15.75" customHeight="1">
      <c r="G128" s="5"/>
      <c r="H128" s="5"/>
      <c r="I128" s="5"/>
      <c r="K128" s="6"/>
    </row>
    <row r="129" ht="15.75" customHeight="1">
      <c r="G129" s="5"/>
      <c r="H129" s="5"/>
      <c r="I129" s="5"/>
      <c r="K129" s="6"/>
    </row>
    <row r="130" ht="15.75" customHeight="1">
      <c r="G130" s="5"/>
      <c r="H130" s="5"/>
      <c r="I130" s="5"/>
      <c r="K130" s="6"/>
    </row>
    <row r="131" ht="15.75" customHeight="1">
      <c r="G131" s="5"/>
      <c r="H131" s="5"/>
      <c r="I131" s="5"/>
      <c r="K131" s="6"/>
    </row>
    <row r="132" ht="15.75" customHeight="1">
      <c r="G132" s="5"/>
      <c r="H132" s="5"/>
      <c r="I132" s="5"/>
      <c r="K132" s="6"/>
    </row>
    <row r="133" ht="15.75" customHeight="1">
      <c r="G133" s="5"/>
      <c r="H133" s="5"/>
      <c r="I133" s="5"/>
      <c r="K133" s="6"/>
    </row>
    <row r="134" ht="15.75" customHeight="1">
      <c r="G134" s="5"/>
      <c r="H134" s="5"/>
      <c r="I134" s="5"/>
      <c r="K134" s="6"/>
    </row>
    <row r="135" ht="15.75" customHeight="1">
      <c r="G135" s="5"/>
      <c r="H135" s="5"/>
      <c r="I135" s="5"/>
      <c r="K135" s="6"/>
    </row>
    <row r="136" ht="15.75" customHeight="1">
      <c r="G136" s="5"/>
      <c r="H136" s="5"/>
      <c r="I136" s="5"/>
      <c r="K136" s="6"/>
    </row>
    <row r="137" ht="15.75" customHeight="1">
      <c r="G137" s="5"/>
      <c r="H137" s="5"/>
      <c r="I137" s="5"/>
      <c r="K137" s="6"/>
    </row>
    <row r="138" ht="15.75" customHeight="1">
      <c r="G138" s="5"/>
      <c r="H138" s="5"/>
      <c r="I138" s="5"/>
      <c r="K138" s="6"/>
    </row>
    <row r="139" ht="15.75" customHeight="1">
      <c r="G139" s="5"/>
      <c r="H139" s="5"/>
      <c r="I139" s="5"/>
      <c r="K139" s="6"/>
    </row>
    <row r="140" ht="15.75" customHeight="1">
      <c r="G140" s="5"/>
      <c r="H140" s="5"/>
      <c r="I140" s="5"/>
      <c r="K140" s="6"/>
    </row>
    <row r="141" ht="15.75" customHeight="1">
      <c r="G141" s="5"/>
      <c r="H141" s="5"/>
      <c r="I141" s="5"/>
      <c r="K141" s="6"/>
    </row>
    <row r="142" ht="15.75" customHeight="1">
      <c r="G142" s="5"/>
      <c r="H142" s="5"/>
      <c r="I142" s="5"/>
      <c r="K142" s="6"/>
    </row>
    <row r="143" ht="15.75" customHeight="1">
      <c r="G143" s="5"/>
      <c r="H143" s="5"/>
      <c r="I143" s="5"/>
      <c r="K143" s="6"/>
    </row>
    <row r="144" ht="15.75" customHeight="1">
      <c r="G144" s="5"/>
      <c r="H144" s="5"/>
      <c r="I144" s="5"/>
      <c r="K144" s="6"/>
    </row>
    <row r="145" ht="15.75" customHeight="1">
      <c r="G145" s="5"/>
      <c r="H145" s="5"/>
      <c r="I145" s="5"/>
      <c r="K145" s="6"/>
    </row>
    <row r="146" ht="15.75" customHeight="1">
      <c r="G146" s="5"/>
      <c r="H146" s="5"/>
      <c r="I146" s="5"/>
      <c r="K146" s="6"/>
    </row>
    <row r="147" ht="15.75" customHeight="1">
      <c r="G147" s="5"/>
      <c r="H147" s="5"/>
      <c r="I147" s="5"/>
      <c r="K147" s="6"/>
    </row>
    <row r="148" ht="15.75" customHeight="1">
      <c r="G148" s="5"/>
      <c r="H148" s="5"/>
      <c r="I148" s="5"/>
      <c r="K148" s="6"/>
    </row>
    <row r="149" ht="15.75" customHeight="1">
      <c r="G149" s="5"/>
      <c r="H149" s="5"/>
      <c r="I149" s="5"/>
      <c r="K149" s="6"/>
    </row>
    <row r="150" ht="15.75" customHeight="1">
      <c r="G150" s="5"/>
      <c r="H150" s="5"/>
      <c r="I150" s="5"/>
      <c r="K150" s="6"/>
    </row>
    <row r="151" ht="15.75" customHeight="1">
      <c r="G151" s="5"/>
      <c r="H151" s="5"/>
      <c r="I151" s="5"/>
      <c r="K151" s="6"/>
    </row>
    <row r="152" ht="15.75" customHeight="1">
      <c r="G152" s="5"/>
      <c r="H152" s="5"/>
      <c r="I152" s="5"/>
      <c r="K152" s="6"/>
    </row>
    <row r="153" ht="15.75" customHeight="1">
      <c r="G153" s="5"/>
      <c r="H153" s="5"/>
      <c r="I153" s="5"/>
      <c r="K153" s="6"/>
    </row>
    <row r="154" ht="15.75" customHeight="1">
      <c r="G154" s="5"/>
      <c r="H154" s="5"/>
      <c r="I154" s="5"/>
      <c r="K154" s="6"/>
    </row>
    <row r="155" ht="15.75" customHeight="1">
      <c r="G155" s="5"/>
      <c r="H155" s="5"/>
      <c r="I155" s="5"/>
      <c r="K155" s="6"/>
    </row>
    <row r="156" ht="15.75" customHeight="1">
      <c r="G156" s="5"/>
      <c r="H156" s="5"/>
      <c r="I156" s="5"/>
      <c r="K156" s="6"/>
    </row>
    <row r="157" ht="15.75" customHeight="1">
      <c r="G157" s="5"/>
      <c r="H157" s="5"/>
      <c r="I157" s="5"/>
      <c r="K157" s="6"/>
    </row>
    <row r="158" ht="15.75" customHeight="1">
      <c r="G158" s="5"/>
      <c r="H158" s="5"/>
      <c r="I158" s="5"/>
      <c r="K158" s="6"/>
    </row>
    <row r="159" ht="15.75" customHeight="1">
      <c r="G159" s="5"/>
      <c r="H159" s="5"/>
      <c r="I159" s="5"/>
      <c r="K159" s="6"/>
    </row>
    <row r="160" ht="15.75" customHeight="1">
      <c r="G160" s="5"/>
      <c r="H160" s="5"/>
      <c r="I160" s="5"/>
      <c r="K160" s="6"/>
    </row>
    <row r="161" ht="15.75" customHeight="1">
      <c r="G161" s="5"/>
      <c r="H161" s="5"/>
      <c r="I161" s="5"/>
      <c r="K161" s="6"/>
    </row>
    <row r="162" ht="15.75" customHeight="1">
      <c r="G162" s="5"/>
      <c r="H162" s="5"/>
      <c r="I162" s="5"/>
      <c r="K162" s="6"/>
    </row>
    <row r="163" ht="15.75" customHeight="1">
      <c r="G163" s="5"/>
      <c r="H163" s="5"/>
      <c r="I163" s="5"/>
      <c r="K163" s="6"/>
    </row>
    <row r="164" ht="15.75" customHeight="1">
      <c r="G164" s="5"/>
      <c r="H164" s="5"/>
      <c r="I164" s="5"/>
      <c r="K164" s="6"/>
    </row>
    <row r="165" ht="15.75" customHeight="1">
      <c r="G165" s="5"/>
      <c r="H165" s="5"/>
      <c r="I165" s="5"/>
      <c r="K165" s="6"/>
    </row>
    <row r="166" ht="15.75" customHeight="1">
      <c r="G166" s="5"/>
      <c r="H166" s="5"/>
      <c r="I166" s="5"/>
      <c r="K166" s="6"/>
    </row>
    <row r="167" ht="15.75" customHeight="1">
      <c r="G167" s="5"/>
      <c r="H167" s="5"/>
      <c r="I167" s="5"/>
      <c r="K167" s="6"/>
    </row>
    <row r="168" ht="15.75" customHeight="1">
      <c r="G168" s="5"/>
      <c r="H168" s="5"/>
      <c r="I168" s="5"/>
      <c r="K168" s="6"/>
    </row>
    <row r="169" ht="15.75" customHeight="1">
      <c r="G169" s="5"/>
      <c r="H169" s="5"/>
      <c r="I169" s="5"/>
      <c r="K169" s="6"/>
    </row>
    <row r="170" ht="15.75" customHeight="1">
      <c r="G170" s="5"/>
      <c r="H170" s="5"/>
      <c r="I170" s="5"/>
      <c r="K170" s="6"/>
    </row>
    <row r="171" ht="15.75" customHeight="1">
      <c r="G171" s="5"/>
      <c r="H171" s="5"/>
      <c r="I171" s="5"/>
      <c r="K171" s="6"/>
    </row>
    <row r="172" ht="15.75" customHeight="1">
      <c r="G172" s="5"/>
      <c r="H172" s="5"/>
      <c r="I172" s="5"/>
      <c r="K172" s="6"/>
    </row>
    <row r="173" ht="15.75" customHeight="1">
      <c r="G173" s="5"/>
      <c r="H173" s="5"/>
      <c r="I173" s="5"/>
      <c r="K173" s="6"/>
    </row>
    <row r="174" ht="15.75" customHeight="1">
      <c r="G174" s="5"/>
      <c r="H174" s="5"/>
      <c r="I174" s="5"/>
      <c r="K174" s="6"/>
    </row>
    <row r="175" ht="15.75" customHeight="1">
      <c r="G175" s="5"/>
      <c r="H175" s="5"/>
      <c r="I175" s="5"/>
      <c r="K175" s="6"/>
    </row>
    <row r="176" ht="15.75" customHeight="1">
      <c r="G176" s="5"/>
      <c r="H176" s="5"/>
      <c r="I176" s="5"/>
      <c r="K176" s="6"/>
    </row>
    <row r="177" ht="15.75" customHeight="1">
      <c r="G177" s="5"/>
      <c r="H177" s="5"/>
      <c r="I177" s="5"/>
      <c r="K177" s="6"/>
    </row>
    <row r="178" ht="15.75" customHeight="1">
      <c r="G178" s="5"/>
      <c r="H178" s="5"/>
      <c r="I178" s="5"/>
      <c r="K178" s="6"/>
    </row>
    <row r="179" ht="15.75" customHeight="1">
      <c r="G179" s="5"/>
      <c r="H179" s="5"/>
      <c r="I179" s="5"/>
      <c r="K179" s="6"/>
    </row>
    <row r="180" ht="15.75" customHeight="1">
      <c r="G180" s="5"/>
      <c r="H180" s="5"/>
      <c r="I180" s="5"/>
      <c r="K180" s="6"/>
    </row>
    <row r="181" ht="15.75" customHeight="1">
      <c r="G181" s="5"/>
      <c r="H181" s="5"/>
      <c r="I181" s="5"/>
      <c r="K181" s="6"/>
    </row>
    <row r="182" ht="15.75" customHeight="1">
      <c r="G182" s="5"/>
      <c r="H182" s="5"/>
      <c r="I182" s="5"/>
      <c r="K182" s="6"/>
    </row>
    <row r="183" ht="15.75" customHeight="1">
      <c r="G183" s="5"/>
      <c r="H183" s="5"/>
      <c r="I183" s="5"/>
      <c r="K183" s="6"/>
    </row>
    <row r="184" ht="15.75" customHeight="1">
      <c r="G184" s="5"/>
      <c r="H184" s="5"/>
      <c r="I184" s="5"/>
      <c r="K184" s="6"/>
    </row>
    <row r="185" ht="15.75" customHeight="1">
      <c r="G185" s="5"/>
      <c r="H185" s="5"/>
      <c r="I185" s="5"/>
      <c r="K185" s="6"/>
    </row>
    <row r="186" ht="15.75" customHeight="1">
      <c r="G186" s="5"/>
      <c r="H186" s="5"/>
      <c r="I186" s="5"/>
      <c r="K186" s="6"/>
    </row>
    <row r="187" ht="15.75" customHeight="1">
      <c r="G187" s="5"/>
      <c r="H187" s="5"/>
      <c r="I187" s="5"/>
      <c r="K187" s="6"/>
    </row>
    <row r="188" ht="15.75" customHeight="1">
      <c r="G188" s="5"/>
      <c r="H188" s="5"/>
      <c r="I188" s="5"/>
      <c r="K188" s="6"/>
    </row>
    <row r="189" ht="15.75" customHeight="1">
      <c r="G189" s="5"/>
      <c r="H189" s="5"/>
      <c r="I189" s="5"/>
      <c r="K189" s="6"/>
    </row>
    <row r="190" ht="15.75" customHeight="1">
      <c r="G190" s="5"/>
      <c r="H190" s="5"/>
      <c r="I190" s="5"/>
      <c r="K190" s="6"/>
    </row>
    <row r="191" ht="15.75" customHeight="1">
      <c r="G191" s="5"/>
      <c r="H191" s="5"/>
      <c r="I191" s="5"/>
      <c r="K191" s="6"/>
    </row>
    <row r="192" ht="15.75" customHeight="1">
      <c r="G192" s="5"/>
      <c r="H192" s="5"/>
      <c r="I192" s="5"/>
      <c r="K192" s="6"/>
    </row>
    <row r="193" ht="15.75" customHeight="1">
      <c r="G193" s="5"/>
      <c r="H193" s="5"/>
      <c r="I193" s="5"/>
      <c r="K193" s="6"/>
    </row>
    <row r="194" ht="15.75" customHeight="1">
      <c r="G194" s="5"/>
      <c r="H194" s="5"/>
      <c r="I194" s="5"/>
      <c r="K194" s="6"/>
    </row>
    <row r="195" ht="15.75" customHeight="1">
      <c r="G195" s="5"/>
      <c r="H195" s="5"/>
      <c r="I195" s="5"/>
      <c r="K195" s="6"/>
    </row>
    <row r="196" ht="15.75" customHeight="1">
      <c r="G196" s="5"/>
      <c r="H196" s="5"/>
      <c r="I196" s="5"/>
      <c r="K196" s="6"/>
    </row>
    <row r="197" ht="15.75" customHeight="1">
      <c r="G197" s="5"/>
      <c r="H197" s="5"/>
      <c r="I197" s="5"/>
      <c r="K197" s="6"/>
    </row>
    <row r="198" ht="15.75" customHeight="1">
      <c r="G198" s="5"/>
      <c r="H198" s="5"/>
      <c r="I198" s="5"/>
      <c r="K198" s="6"/>
    </row>
    <row r="199" ht="15.75" customHeight="1">
      <c r="G199" s="5"/>
      <c r="H199" s="5"/>
      <c r="I199" s="5"/>
      <c r="K199" s="6"/>
    </row>
    <row r="200" ht="15.75" customHeight="1">
      <c r="G200" s="5"/>
      <c r="H200" s="5"/>
      <c r="I200" s="5"/>
      <c r="K200" s="6"/>
    </row>
    <row r="201" ht="15.75" customHeight="1">
      <c r="G201" s="5"/>
      <c r="H201" s="5"/>
      <c r="I201" s="5"/>
      <c r="K201" s="6"/>
    </row>
    <row r="202" ht="15.75" customHeight="1">
      <c r="G202" s="5"/>
      <c r="H202" s="5"/>
      <c r="I202" s="5"/>
      <c r="K202" s="6"/>
    </row>
    <row r="203" ht="15.75" customHeight="1">
      <c r="G203" s="5"/>
      <c r="H203" s="5"/>
      <c r="I203" s="5"/>
      <c r="K203" s="6"/>
    </row>
    <row r="204" ht="15.75" customHeight="1">
      <c r="G204" s="5"/>
      <c r="H204" s="5"/>
      <c r="I204" s="5"/>
      <c r="K204" s="6"/>
    </row>
    <row r="205" ht="15.75" customHeight="1">
      <c r="G205" s="5"/>
      <c r="H205" s="5"/>
      <c r="I205" s="5"/>
      <c r="K205" s="6"/>
    </row>
    <row r="206" ht="15.75" customHeight="1">
      <c r="G206" s="5"/>
      <c r="H206" s="5"/>
      <c r="I206" s="5"/>
      <c r="K206" s="6"/>
    </row>
    <row r="207" ht="15.75" customHeight="1">
      <c r="G207" s="5"/>
      <c r="H207" s="5"/>
      <c r="I207" s="5"/>
      <c r="K207" s="6"/>
    </row>
    <row r="208" ht="15.75" customHeight="1">
      <c r="G208" s="5"/>
      <c r="H208" s="5"/>
      <c r="I208" s="5"/>
      <c r="K208" s="6"/>
    </row>
    <row r="209" ht="15.75" customHeight="1">
      <c r="G209" s="5"/>
      <c r="H209" s="5"/>
      <c r="I209" s="5"/>
      <c r="K209" s="6"/>
    </row>
    <row r="210" ht="15.75" customHeight="1">
      <c r="G210" s="5"/>
      <c r="H210" s="5"/>
      <c r="I210" s="5"/>
      <c r="K210" s="6"/>
    </row>
    <row r="211" ht="15.75" customHeight="1">
      <c r="G211" s="5"/>
      <c r="H211" s="5"/>
      <c r="I211" s="5"/>
      <c r="K211" s="6"/>
    </row>
    <row r="212" ht="15.75" customHeight="1">
      <c r="G212" s="5"/>
      <c r="H212" s="5"/>
      <c r="I212" s="5"/>
      <c r="K212" s="6"/>
    </row>
    <row r="213" ht="15.75" customHeight="1">
      <c r="G213" s="5"/>
      <c r="H213" s="5"/>
      <c r="I213" s="5"/>
      <c r="K213" s="6"/>
    </row>
    <row r="214" ht="15.75" customHeight="1">
      <c r="G214" s="5"/>
      <c r="H214" s="5"/>
      <c r="I214" s="5"/>
      <c r="K214" s="6"/>
    </row>
    <row r="215" ht="15.75" customHeight="1">
      <c r="G215" s="5"/>
      <c r="H215" s="5"/>
      <c r="I215" s="5"/>
      <c r="K215" s="6"/>
    </row>
    <row r="216" ht="15.75" customHeight="1">
      <c r="G216" s="5"/>
      <c r="H216" s="5"/>
      <c r="I216" s="5"/>
      <c r="K216" s="6"/>
    </row>
    <row r="217" ht="15.75" customHeight="1">
      <c r="G217" s="5"/>
      <c r="H217" s="5"/>
      <c r="I217" s="5"/>
      <c r="K217" s="6"/>
    </row>
    <row r="218" ht="15.75" customHeight="1">
      <c r="G218" s="5"/>
      <c r="H218" s="5"/>
      <c r="I218" s="5"/>
      <c r="K218" s="6"/>
    </row>
    <row r="219" ht="15.75" customHeight="1">
      <c r="G219" s="5"/>
      <c r="H219" s="5"/>
      <c r="I219" s="5"/>
      <c r="K219" s="6"/>
    </row>
    <row r="220" ht="15.75" customHeight="1">
      <c r="G220" s="5"/>
      <c r="H220" s="5"/>
      <c r="I220" s="5"/>
      <c r="K220" s="6"/>
    </row>
    <row r="221" ht="15.75" customHeight="1">
      <c r="G221" s="5"/>
      <c r="H221" s="5"/>
      <c r="I221" s="5"/>
      <c r="K221" s="6"/>
    </row>
    <row r="222" ht="15.75" customHeight="1">
      <c r="G222" s="5"/>
      <c r="H222" s="5"/>
      <c r="I222" s="5"/>
      <c r="K222" s="6"/>
    </row>
    <row r="223" ht="15.75" customHeight="1">
      <c r="G223" s="5"/>
      <c r="H223" s="5"/>
      <c r="I223" s="5"/>
      <c r="K223" s="6"/>
    </row>
    <row r="224" ht="15.75" customHeight="1">
      <c r="G224" s="5"/>
      <c r="H224" s="5"/>
      <c r="I224" s="5"/>
      <c r="K224" s="6"/>
    </row>
    <row r="225" ht="15.75" customHeight="1">
      <c r="G225" s="5"/>
      <c r="H225" s="5"/>
      <c r="I225" s="5"/>
      <c r="K225" s="6"/>
    </row>
    <row r="226" ht="15.75" customHeight="1">
      <c r="G226" s="5"/>
      <c r="H226" s="5"/>
      <c r="I226" s="5"/>
      <c r="K226" s="6"/>
    </row>
    <row r="227" ht="15.75" customHeight="1">
      <c r="G227" s="5"/>
      <c r="H227" s="5"/>
      <c r="I227" s="5"/>
      <c r="K227" s="6"/>
    </row>
    <row r="228" ht="15.75" customHeight="1">
      <c r="G228" s="5"/>
      <c r="H228" s="5"/>
      <c r="I228" s="5"/>
      <c r="K228" s="6"/>
    </row>
    <row r="229" ht="15.75" customHeight="1">
      <c r="G229" s="5"/>
      <c r="H229" s="5"/>
      <c r="I229" s="5"/>
      <c r="K229" s="6"/>
    </row>
    <row r="230" ht="15.75" customHeight="1">
      <c r="G230" s="5"/>
      <c r="H230" s="5"/>
      <c r="I230" s="5"/>
      <c r="K230" s="6"/>
    </row>
    <row r="231" ht="15.75" customHeight="1">
      <c r="G231" s="5"/>
      <c r="H231" s="5"/>
      <c r="I231" s="5"/>
      <c r="K231" s="6"/>
    </row>
    <row r="232" ht="15.75" customHeight="1">
      <c r="G232" s="5"/>
      <c r="H232" s="5"/>
      <c r="I232" s="5"/>
      <c r="K232" s="6"/>
    </row>
    <row r="233" ht="15.75" customHeight="1">
      <c r="G233" s="5"/>
      <c r="H233" s="5"/>
      <c r="I233" s="5"/>
      <c r="K233" s="6"/>
    </row>
    <row r="234" ht="15.75" customHeight="1">
      <c r="G234" s="5"/>
      <c r="H234" s="5"/>
      <c r="I234" s="5"/>
      <c r="K234" s="6"/>
    </row>
    <row r="235" ht="15.75" customHeight="1">
      <c r="G235" s="5"/>
      <c r="H235" s="5"/>
      <c r="I235" s="5"/>
      <c r="K235" s="6"/>
    </row>
    <row r="236" ht="15.75" customHeight="1">
      <c r="G236" s="5"/>
      <c r="H236" s="5"/>
      <c r="I236" s="5"/>
      <c r="K236" s="6"/>
    </row>
    <row r="237" ht="15.75" customHeight="1">
      <c r="G237" s="5"/>
      <c r="H237" s="5"/>
      <c r="I237" s="5"/>
      <c r="K237" s="6"/>
    </row>
    <row r="238" ht="15.75" customHeight="1">
      <c r="G238" s="5"/>
      <c r="H238" s="5"/>
      <c r="I238" s="5"/>
      <c r="K238" s="6"/>
    </row>
    <row r="239" ht="15.75" customHeight="1">
      <c r="G239" s="5"/>
      <c r="H239" s="5"/>
      <c r="I239" s="5"/>
      <c r="K239" s="6"/>
    </row>
    <row r="240" ht="15.75" customHeight="1">
      <c r="G240" s="5"/>
      <c r="H240" s="5"/>
      <c r="I240" s="5"/>
      <c r="K240" s="6"/>
    </row>
    <row r="241" ht="15.75" customHeight="1">
      <c r="G241" s="5"/>
      <c r="H241" s="5"/>
      <c r="I241" s="5"/>
      <c r="K241" s="6"/>
    </row>
    <row r="242" ht="15.75" customHeight="1">
      <c r="G242" s="5"/>
      <c r="H242" s="5"/>
      <c r="I242" s="5"/>
      <c r="K242" s="6"/>
    </row>
    <row r="243" ht="15.75" customHeight="1">
      <c r="G243" s="5"/>
      <c r="H243" s="5"/>
      <c r="I243" s="5"/>
      <c r="K243" s="6"/>
    </row>
    <row r="244" ht="15.75" customHeight="1">
      <c r="G244" s="5"/>
      <c r="H244" s="5"/>
      <c r="I244" s="5"/>
      <c r="K244" s="6"/>
    </row>
    <row r="245" ht="15.75" customHeight="1">
      <c r="G245" s="5"/>
      <c r="H245" s="5"/>
      <c r="I245" s="5"/>
      <c r="K245" s="6"/>
    </row>
    <row r="246" ht="15.75" customHeight="1">
      <c r="G246" s="5"/>
      <c r="H246" s="5"/>
      <c r="I246" s="5"/>
      <c r="K246" s="6"/>
    </row>
    <row r="247" ht="15.75" customHeight="1">
      <c r="G247" s="5"/>
      <c r="H247" s="5"/>
      <c r="I247" s="5"/>
      <c r="K247" s="6"/>
    </row>
    <row r="248" ht="15.75" customHeight="1">
      <c r="G248" s="5"/>
      <c r="H248" s="5"/>
      <c r="I248" s="5"/>
      <c r="K248" s="6"/>
    </row>
    <row r="249" ht="15.75" customHeight="1">
      <c r="G249" s="5"/>
      <c r="H249" s="5"/>
      <c r="I249" s="5"/>
      <c r="K249" s="6"/>
    </row>
    <row r="250" ht="15.75" customHeight="1">
      <c r="G250" s="5"/>
      <c r="H250" s="5"/>
      <c r="I250" s="5"/>
      <c r="K250" s="6"/>
    </row>
    <row r="251" ht="15.75" customHeight="1">
      <c r="G251" s="5"/>
      <c r="H251" s="5"/>
      <c r="I251" s="5"/>
      <c r="K251" s="6"/>
    </row>
    <row r="252" ht="15.75" customHeight="1">
      <c r="G252" s="5"/>
      <c r="H252" s="5"/>
      <c r="I252" s="5"/>
      <c r="K252" s="6"/>
    </row>
    <row r="253" ht="15.75" customHeight="1">
      <c r="G253" s="5"/>
      <c r="H253" s="5"/>
      <c r="I253" s="5"/>
      <c r="K253" s="6"/>
    </row>
    <row r="254" ht="15.75" customHeight="1">
      <c r="G254" s="5"/>
      <c r="H254" s="5"/>
      <c r="I254" s="5"/>
      <c r="K254" s="6"/>
    </row>
    <row r="255" ht="15.75" customHeight="1">
      <c r="G255" s="5"/>
      <c r="H255" s="5"/>
      <c r="I255" s="5"/>
      <c r="K255" s="6"/>
    </row>
    <row r="256" ht="15.75" customHeight="1">
      <c r="G256" s="5"/>
      <c r="H256" s="5"/>
      <c r="I256" s="5"/>
      <c r="K256" s="6"/>
    </row>
    <row r="257" ht="15.75" customHeight="1">
      <c r="G257" s="5"/>
      <c r="H257" s="5"/>
      <c r="I257" s="5"/>
      <c r="K257" s="6"/>
    </row>
    <row r="258" ht="15.75" customHeight="1">
      <c r="G258" s="5"/>
      <c r="H258" s="5"/>
      <c r="I258" s="5"/>
      <c r="K258" s="6"/>
    </row>
    <row r="259" ht="15.75" customHeight="1">
      <c r="G259" s="5"/>
      <c r="H259" s="5"/>
      <c r="I259" s="5"/>
      <c r="K259" s="6"/>
    </row>
    <row r="260" ht="15.75" customHeight="1">
      <c r="G260" s="5"/>
      <c r="H260" s="5"/>
      <c r="I260" s="5"/>
      <c r="K260" s="6"/>
    </row>
    <row r="261" ht="15.75" customHeight="1">
      <c r="G261" s="5"/>
      <c r="H261" s="5"/>
      <c r="I261" s="5"/>
      <c r="K261" s="6"/>
    </row>
    <row r="262" ht="15.75" customHeight="1">
      <c r="G262" s="5"/>
      <c r="H262" s="5"/>
      <c r="I262" s="5"/>
      <c r="K262" s="6"/>
    </row>
    <row r="263" ht="15.75" customHeight="1">
      <c r="G263" s="5"/>
      <c r="H263" s="5"/>
      <c r="I263" s="5"/>
      <c r="K263" s="6"/>
    </row>
    <row r="264" ht="15.75" customHeight="1">
      <c r="G264" s="5"/>
      <c r="H264" s="5"/>
      <c r="I264" s="5"/>
      <c r="K264" s="6"/>
    </row>
    <row r="265" ht="15.75" customHeight="1">
      <c r="G265" s="5"/>
      <c r="H265" s="5"/>
      <c r="I265" s="5"/>
      <c r="K265" s="6"/>
    </row>
    <row r="266" ht="15.75" customHeight="1">
      <c r="G266" s="5"/>
      <c r="H266" s="5"/>
      <c r="I266" s="5"/>
      <c r="K266" s="6"/>
    </row>
    <row r="267" ht="15.75" customHeight="1">
      <c r="G267" s="5"/>
      <c r="H267" s="5"/>
      <c r="I267" s="5"/>
      <c r="K267" s="6"/>
    </row>
    <row r="268" ht="15.75" customHeight="1">
      <c r="G268" s="5"/>
      <c r="H268" s="5"/>
      <c r="I268" s="5"/>
      <c r="K268" s="6"/>
    </row>
    <row r="269" ht="15.75" customHeight="1">
      <c r="G269" s="5"/>
      <c r="H269" s="5"/>
      <c r="I269" s="5"/>
      <c r="K269" s="6"/>
    </row>
    <row r="270" ht="15.75" customHeight="1">
      <c r="G270" s="5"/>
      <c r="H270" s="5"/>
      <c r="I270" s="5"/>
      <c r="K270" s="6"/>
    </row>
    <row r="271" ht="15.75" customHeight="1">
      <c r="G271" s="5"/>
      <c r="H271" s="5"/>
      <c r="I271" s="5"/>
      <c r="K271" s="6"/>
    </row>
    <row r="272" ht="15.75" customHeight="1">
      <c r="G272" s="5"/>
      <c r="H272" s="5"/>
      <c r="I272" s="5"/>
      <c r="K272" s="6"/>
    </row>
    <row r="273" ht="15.75" customHeight="1">
      <c r="G273" s="5"/>
      <c r="H273" s="5"/>
      <c r="I273" s="5"/>
      <c r="K273" s="6"/>
    </row>
    <row r="274" ht="15.75" customHeight="1">
      <c r="G274" s="5"/>
      <c r="H274" s="5"/>
      <c r="I274" s="5"/>
      <c r="K274" s="6"/>
    </row>
    <row r="275" ht="15.75" customHeight="1">
      <c r="G275" s="5"/>
      <c r="H275" s="5"/>
      <c r="I275" s="5"/>
      <c r="K275" s="6"/>
    </row>
    <row r="276" ht="15.75" customHeight="1">
      <c r="G276" s="5"/>
      <c r="H276" s="5"/>
      <c r="I276" s="5"/>
      <c r="K276" s="6"/>
    </row>
    <row r="277" ht="15.75" customHeight="1">
      <c r="G277" s="5"/>
      <c r="H277" s="5"/>
      <c r="I277" s="5"/>
      <c r="K277" s="6"/>
    </row>
    <row r="278" ht="15.75" customHeight="1">
      <c r="G278" s="5"/>
      <c r="H278" s="5"/>
      <c r="I278" s="5"/>
      <c r="K278" s="6"/>
    </row>
    <row r="279" ht="15.75" customHeight="1">
      <c r="G279" s="5"/>
      <c r="H279" s="5"/>
      <c r="I279" s="5"/>
      <c r="K279" s="6"/>
    </row>
    <row r="280" ht="15.75" customHeight="1">
      <c r="G280" s="5"/>
      <c r="H280" s="5"/>
      <c r="I280" s="5"/>
      <c r="K280" s="6"/>
    </row>
    <row r="281" ht="15.75" customHeight="1">
      <c r="G281" s="5"/>
      <c r="H281" s="5"/>
      <c r="I281" s="5"/>
      <c r="K281" s="6"/>
    </row>
    <row r="282" ht="15.75" customHeight="1">
      <c r="G282" s="5"/>
      <c r="H282" s="5"/>
      <c r="I282" s="5"/>
      <c r="K282" s="6"/>
    </row>
    <row r="283" ht="15.75" customHeight="1">
      <c r="G283" s="5"/>
      <c r="H283" s="5"/>
      <c r="I283" s="5"/>
      <c r="K283" s="6"/>
    </row>
    <row r="284" ht="15.75" customHeight="1">
      <c r="G284" s="5"/>
      <c r="H284" s="5"/>
      <c r="I284" s="5"/>
      <c r="K284" s="6"/>
    </row>
    <row r="285" ht="15.75" customHeight="1">
      <c r="G285" s="5"/>
      <c r="H285" s="5"/>
      <c r="I285" s="5"/>
      <c r="K285" s="6"/>
    </row>
    <row r="286" ht="15.75" customHeight="1">
      <c r="G286" s="5"/>
      <c r="H286" s="5"/>
      <c r="I286" s="5"/>
      <c r="K286" s="6"/>
    </row>
    <row r="287" ht="15.75" customHeight="1">
      <c r="G287" s="5"/>
      <c r="H287" s="5"/>
      <c r="I287" s="5"/>
      <c r="K287" s="6"/>
    </row>
    <row r="288" ht="15.75" customHeight="1">
      <c r="G288" s="5"/>
      <c r="H288" s="5"/>
      <c r="I288" s="5"/>
      <c r="K288" s="6"/>
    </row>
    <row r="289" ht="15.75" customHeight="1">
      <c r="G289" s="5"/>
      <c r="H289" s="5"/>
      <c r="I289" s="5"/>
      <c r="K289" s="6"/>
    </row>
    <row r="290" ht="15.75" customHeight="1">
      <c r="G290" s="5"/>
      <c r="H290" s="5"/>
      <c r="I290" s="5"/>
      <c r="K290" s="6"/>
    </row>
    <row r="291" ht="15.75" customHeight="1">
      <c r="G291" s="5"/>
      <c r="H291" s="5"/>
      <c r="I291" s="5"/>
      <c r="K291" s="6"/>
    </row>
    <row r="292" ht="15.75" customHeight="1">
      <c r="G292" s="5"/>
      <c r="H292" s="5"/>
      <c r="I292" s="5"/>
      <c r="K292" s="6"/>
    </row>
    <row r="293" ht="15.75" customHeight="1">
      <c r="G293" s="5"/>
      <c r="H293" s="5"/>
      <c r="I293" s="5"/>
      <c r="K293" s="6"/>
    </row>
    <row r="294" ht="15.75" customHeight="1">
      <c r="G294" s="5"/>
      <c r="H294" s="5"/>
      <c r="I294" s="5"/>
      <c r="K294" s="6"/>
    </row>
    <row r="295" ht="15.75" customHeight="1">
      <c r="G295" s="5"/>
      <c r="H295" s="5"/>
      <c r="I295" s="5"/>
      <c r="K295" s="6"/>
    </row>
    <row r="296" ht="15.75" customHeight="1">
      <c r="G296" s="5"/>
      <c r="H296" s="5"/>
      <c r="I296" s="5"/>
      <c r="K296" s="6"/>
    </row>
    <row r="297" ht="15.75" customHeight="1">
      <c r="G297" s="5"/>
      <c r="H297" s="5"/>
      <c r="I297" s="5"/>
      <c r="K297" s="6"/>
    </row>
    <row r="298" ht="15.75" customHeight="1">
      <c r="G298" s="5"/>
      <c r="H298" s="5"/>
      <c r="I298" s="5"/>
      <c r="K298" s="6"/>
    </row>
    <row r="299" ht="15.75" customHeight="1">
      <c r="G299" s="5"/>
      <c r="H299" s="5"/>
      <c r="I299" s="5"/>
      <c r="K299" s="6"/>
    </row>
    <row r="300" ht="15.75" customHeight="1">
      <c r="G300" s="5"/>
      <c r="H300" s="5"/>
      <c r="I300" s="5"/>
      <c r="K300" s="6"/>
    </row>
    <row r="301" ht="15.75" customHeight="1">
      <c r="G301" s="5"/>
      <c r="H301" s="5"/>
      <c r="I301" s="5"/>
      <c r="K301" s="6"/>
    </row>
    <row r="302" ht="15.75" customHeight="1">
      <c r="G302" s="5"/>
      <c r="H302" s="5"/>
      <c r="I302" s="5"/>
      <c r="K302" s="6"/>
    </row>
    <row r="303" ht="15.75" customHeight="1">
      <c r="G303" s="5"/>
      <c r="H303" s="5"/>
      <c r="I303" s="5"/>
      <c r="K303" s="6"/>
    </row>
    <row r="304" ht="15.75" customHeight="1">
      <c r="G304" s="5"/>
      <c r="H304" s="5"/>
      <c r="I304" s="5"/>
      <c r="K304" s="6"/>
    </row>
    <row r="305" ht="15.75" customHeight="1">
      <c r="G305" s="5"/>
      <c r="H305" s="5"/>
      <c r="I305" s="5"/>
      <c r="K305" s="6"/>
    </row>
    <row r="306" ht="15.75" customHeight="1">
      <c r="G306" s="5"/>
      <c r="H306" s="5"/>
      <c r="I306" s="5"/>
      <c r="K306" s="6"/>
    </row>
    <row r="307" ht="15.75" customHeight="1">
      <c r="G307" s="5"/>
      <c r="H307" s="5"/>
      <c r="I307" s="5"/>
      <c r="K307" s="6"/>
    </row>
    <row r="308" ht="15.75" customHeight="1">
      <c r="G308" s="5"/>
      <c r="H308" s="5"/>
      <c r="I308" s="5"/>
      <c r="K308" s="6"/>
    </row>
    <row r="309" ht="15.75" customHeight="1">
      <c r="G309" s="5"/>
      <c r="H309" s="5"/>
      <c r="I309" s="5"/>
      <c r="K309" s="6"/>
    </row>
    <row r="310" ht="15.75" customHeight="1">
      <c r="G310" s="5"/>
      <c r="H310" s="5"/>
      <c r="I310" s="5"/>
      <c r="K310" s="6"/>
    </row>
    <row r="311" ht="15.75" customHeight="1">
      <c r="G311" s="5"/>
      <c r="H311" s="5"/>
      <c r="I311" s="5"/>
      <c r="K311" s="6"/>
    </row>
    <row r="312" ht="15.75" customHeight="1">
      <c r="G312" s="5"/>
      <c r="H312" s="5"/>
      <c r="I312" s="5"/>
      <c r="K312" s="6"/>
    </row>
    <row r="313" ht="15.75" customHeight="1">
      <c r="G313" s="5"/>
      <c r="H313" s="5"/>
      <c r="I313" s="5"/>
      <c r="K313" s="6"/>
    </row>
    <row r="314" ht="15.75" customHeight="1">
      <c r="G314" s="5"/>
      <c r="H314" s="5"/>
      <c r="I314" s="5"/>
      <c r="K314" s="6"/>
    </row>
    <row r="315" ht="15.75" customHeight="1">
      <c r="G315" s="5"/>
      <c r="H315" s="5"/>
      <c r="I315" s="5"/>
      <c r="K315" s="6"/>
    </row>
    <row r="316" ht="15.75" customHeight="1">
      <c r="G316" s="5"/>
      <c r="H316" s="5"/>
      <c r="I316" s="5"/>
      <c r="K316" s="6"/>
    </row>
    <row r="317" ht="15.75" customHeight="1">
      <c r="G317" s="5"/>
      <c r="H317" s="5"/>
      <c r="I317" s="5"/>
      <c r="K317" s="6"/>
    </row>
    <row r="318" ht="15.75" customHeight="1">
      <c r="G318" s="5"/>
      <c r="H318" s="5"/>
      <c r="I318" s="5"/>
      <c r="K318" s="6"/>
    </row>
    <row r="319" ht="15.75" customHeight="1">
      <c r="G319" s="5"/>
      <c r="H319" s="5"/>
      <c r="I319" s="5"/>
      <c r="K319" s="6"/>
    </row>
    <row r="320" ht="15.75" customHeight="1">
      <c r="G320" s="5"/>
      <c r="H320" s="5"/>
      <c r="I320" s="5"/>
      <c r="K320" s="6"/>
    </row>
    <row r="321" ht="15.75" customHeight="1">
      <c r="G321" s="5"/>
      <c r="H321" s="5"/>
      <c r="I321" s="5"/>
      <c r="K321" s="6"/>
    </row>
    <row r="322" ht="15.75" customHeight="1">
      <c r="G322" s="5"/>
      <c r="H322" s="5"/>
      <c r="I322" s="5"/>
      <c r="K322" s="6"/>
    </row>
    <row r="323" ht="15.75" customHeight="1">
      <c r="G323" s="5"/>
      <c r="H323" s="5"/>
      <c r="I323" s="5"/>
      <c r="K323" s="6"/>
    </row>
    <row r="324" ht="15.75" customHeight="1">
      <c r="G324" s="5"/>
      <c r="H324" s="5"/>
      <c r="I324" s="5"/>
      <c r="K324" s="6"/>
    </row>
    <row r="325" ht="15.75" customHeight="1">
      <c r="G325" s="5"/>
      <c r="H325" s="5"/>
      <c r="I325" s="5"/>
      <c r="K325" s="6"/>
    </row>
    <row r="326" ht="15.75" customHeight="1">
      <c r="G326" s="5"/>
      <c r="H326" s="5"/>
      <c r="I326" s="5"/>
      <c r="K326" s="6"/>
    </row>
    <row r="327" ht="15.75" customHeight="1">
      <c r="G327" s="5"/>
      <c r="H327" s="5"/>
      <c r="I327" s="5"/>
      <c r="K327" s="6"/>
    </row>
    <row r="328" ht="15.75" customHeight="1">
      <c r="G328" s="5"/>
      <c r="H328" s="5"/>
      <c r="I328" s="5"/>
      <c r="K328" s="6"/>
    </row>
    <row r="329" ht="15.75" customHeight="1">
      <c r="G329" s="5"/>
      <c r="H329" s="5"/>
      <c r="I329" s="5"/>
      <c r="K329" s="6"/>
    </row>
    <row r="330" ht="15.75" customHeight="1">
      <c r="G330" s="5"/>
      <c r="H330" s="5"/>
      <c r="I330" s="5"/>
      <c r="K330" s="6"/>
    </row>
    <row r="331" ht="15.75" customHeight="1">
      <c r="G331" s="5"/>
      <c r="H331" s="5"/>
      <c r="I331" s="5"/>
      <c r="K331" s="6"/>
    </row>
    <row r="332" ht="15.75" customHeight="1">
      <c r="G332" s="5"/>
      <c r="H332" s="5"/>
      <c r="I332" s="5"/>
      <c r="K332" s="6"/>
    </row>
    <row r="333" ht="15.75" customHeight="1">
      <c r="G333" s="5"/>
      <c r="H333" s="5"/>
      <c r="I333" s="5"/>
      <c r="K333" s="6"/>
    </row>
    <row r="334" ht="15.75" customHeight="1">
      <c r="G334" s="5"/>
      <c r="H334" s="5"/>
      <c r="I334" s="5"/>
      <c r="K334" s="6"/>
    </row>
    <row r="335" ht="15.75" customHeight="1">
      <c r="G335" s="5"/>
      <c r="H335" s="5"/>
      <c r="I335" s="5"/>
      <c r="K335" s="6"/>
    </row>
    <row r="336" ht="15.75" customHeight="1">
      <c r="G336" s="5"/>
      <c r="H336" s="5"/>
      <c r="I336" s="5"/>
      <c r="K336" s="6"/>
    </row>
    <row r="337" ht="15.75" customHeight="1">
      <c r="G337" s="5"/>
      <c r="H337" s="5"/>
      <c r="I337" s="5"/>
      <c r="K337" s="6"/>
    </row>
    <row r="338" ht="15.75" customHeight="1">
      <c r="G338" s="5"/>
      <c r="H338" s="5"/>
      <c r="I338" s="5"/>
      <c r="K338" s="6"/>
    </row>
    <row r="339" ht="15.75" customHeight="1">
      <c r="G339" s="5"/>
      <c r="H339" s="5"/>
      <c r="I339" s="5"/>
      <c r="K339" s="6"/>
    </row>
    <row r="340" ht="15.75" customHeight="1">
      <c r="G340" s="5"/>
      <c r="H340" s="5"/>
      <c r="I340" s="5"/>
      <c r="K340" s="6"/>
    </row>
    <row r="341" ht="15.75" customHeight="1">
      <c r="G341" s="5"/>
      <c r="H341" s="5"/>
      <c r="I341" s="5"/>
      <c r="K341" s="6"/>
    </row>
    <row r="342" ht="15.75" customHeight="1">
      <c r="G342" s="5"/>
      <c r="H342" s="5"/>
      <c r="I342" s="5"/>
      <c r="K342" s="6"/>
    </row>
    <row r="343" ht="15.75" customHeight="1">
      <c r="G343" s="5"/>
      <c r="H343" s="5"/>
      <c r="I343" s="5"/>
      <c r="K343" s="6"/>
    </row>
    <row r="344" ht="15.75" customHeight="1">
      <c r="G344" s="5"/>
      <c r="H344" s="5"/>
      <c r="I344" s="5"/>
      <c r="K344" s="6"/>
    </row>
    <row r="345" ht="15.75" customHeight="1">
      <c r="G345" s="5"/>
      <c r="H345" s="5"/>
      <c r="I345" s="5"/>
      <c r="K345" s="6"/>
    </row>
    <row r="346" ht="15.75" customHeight="1">
      <c r="G346" s="5"/>
      <c r="H346" s="5"/>
      <c r="I346" s="5"/>
      <c r="K346" s="6"/>
    </row>
    <row r="347" ht="15.75" customHeight="1">
      <c r="G347" s="5"/>
      <c r="H347" s="5"/>
      <c r="I347" s="5"/>
      <c r="K347" s="6"/>
    </row>
    <row r="348" ht="15.75" customHeight="1">
      <c r="G348" s="5"/>
      <c r="H348" s="5"/>
      <c r="I348" s="5"/>
      <c r="K348" s="6"/>
    </row>
    <row r="349" ht="15.75" customHeight="1">
      <c r="G349" s="5"/>
      <c r="H349" s="5"/>
      <c r="I349" s="5"/>
      <c r="K349" s="6"/>
    </row>
    <row r="350" ht="15.75" customHeight="1">
      <c r="G350" s="5"/>
      <c r="H350" s="5"/>
      <c r="I350" s="5"/>
      <c r="K350" s="6"/>
    </row>
    <row r="351" ht="15.75" customHeight="1">
      <c r="G351" s="5"/>
      <c r="H351" s="5"/>
      <c r="I351" s="5"/>
      <c r="K351" s="6"/>
    </row>
    <row r="352" ht="15.75" customHeight="1">
      <c r="G352" s="5"/>
      <c r="H352" s="5"/>
      <c r="I352" s="5"/>
      <c r="K352" s="6"/>
    </row>
    <row r="353" ht="15.75" customHeight="1">
      <c r="G353" s="5"/>
      <c r="H353" s="5"/>
      <c r="I353" s="5"/>
      <c r="K353" s="6"/>
    </row>
    <row r="354" ht="15.75" customHeight="1">
      <c r="G354" s="5"/>
      <c r="H354" s="5"/>
      <c r="I354" s="5"/>
      <c r="K354" s="6"/>
    </row>
    <row r="355" ht="15.75" customHeight="1">
      <c r="G355" s="5"/>
      <c r="H355" s="5"/>
      <c r="I355" s="5"/>
      <c r="K355" s="6"/>
    </row>
    <row r="356" ht="15.75" customHeight="1">
      <c r="G356" s="5"/>
      <c r="H356" s="5"/>
      <c r="I356" s="5"/>
      <c r="K356" s="6"/>
    </row>
    <row r="357" ht="15.75" customHeight="1">
      <c r="G357" s="5"/>
      <c r="H357" s="5"/>
      <c r="I357" s="5"/>
      <c r="K357" s="6"/>
    </row>
    <row r="358" ht="15.75" customHeight="1">
      <c r="G358" s="5"/>
      <c r="H358" s="5"/>
      <c r="I358" s="5"/>
      <c r="K358" s="6"/>
    </row>
    <row r="359" ht="15.75" customHeight="1">
      <c r="G359" s="5"/>
      <c r="H359" s="5"/>
      <c r="I359" s="5"/>
      <c r="K359" s="6"/>
    </row>
    <row r="360" ht="15.75" customHeight="1">
      <c r="G360" s="5"/>
      <c r="H360" s="5"/>
      <c r="I360" s="5"/>
      <c r="K360" s="6"/>
    </row>
    <row r="361" ht="15.75" customHeight="1">
      <c r="G361" s="5"/>
      <c r="H361" s="5"/>
      <c r="I361" s="5"/>
      <c r="K361" s="6"/>
    </row>
    <row r="362" ht="15.75" customHeight="1">
      <c r="G362" s="5"/>
      <c r="H362" s="5"/>
      <c r="I362" s="5"/>
      <c r="K362" s="6"/>
    </row>
    <row r="363" ht="15.75" customHeight="1">
      <c r="G363" s="5"/>
      <c r="H363" s="5"/>
      <c r="I363" s="5"/>
      <c r="K363" s="6"/>
    </row>
    <row r="364" ht="15.75" customHeight="1">
      <c r="G364" s="5"/>
      <c r="H364" s="5"/>
      <c r="I364" s="5"/>
      <c r="K364" s="6"/>
    </row>
    <row r="365" ht="15.75" customHeight="1">
      <c r="G365" s="5"/>
      <c r="H365" s="5"/>
      <c r="I365" s="5"/>
      <c r="K365" s="6"/>
    </row>
    <row r="366" ht="15.75" customHeight="1">
      <c r="G366" s="5"/>
      <c r="H366" s="5"/>
      <c r="I366" s="5"/>
      <c r="K366" s="6"/>
    </row>
    <row r="367" ht="15.75" customHeight="1">
      <c r="G367" s="5"/>
      <c r="H367" s="5"/>
      <c r="I367" s="5"/>
      <c r="K367" s="6"/>
    </row>
    <row r="368" ht="15.75" customHeight="1">
      <c r="G368" s="5"/>
      <c r="H368" s="5"/>
      <c r="I368" s="5"/>
      <c r="K368" s="6"/>
    </row>
    <row r="369" ht="15.75" customHeight="1">
      <c r="G369" s="5"/>
      <c r="H369" s="5"/>
      <c r="I369" s="5"/>
      <c r="K369" s="6"/>
    </row>
    <row r="370" ht="15.75" customHeight="1">
      <c r="G370" s="5"/>
      <c r="H370" s="5"/>
      <c r="I370" s="5"/>
      <c r="K370" s="6"/>
    </row>
    <row r="371" ht="15.75" customHeight="1">
      <c r="G371" s="5"/>
      <c r="H371" s="5"/>
      <c r="I371" s="5"/>
      <c r="K371" s="6"/>
    </row>
    <row r="372" ht="15.75" customHeight="1">
      <c r="G372" s="5"/>
      <c r="H372" s="5"/>
      <c r="I372" s="5"/>
      <c r="K372" s="6"/>
    </row>
    <row r="373" ht="15.75" customHeight="1">
      <c r="G373" s="5"/>
      <c r="H373" s="5"/>
      <c r="I373" s="5"/>
      <c r="K373" s="6"/>
    </row>
    <row r="374" ht="15.75" customHeight="1">
      <c r="G374" s="5"/>
      <c r="H374" s="5"/>
      <c r="I374" s="5"/>
      <c r="K374" s="6"/>
    </row>
    <row r="375" ht="15.75" customHeight="1">
      <c r="G375" s="5"/>
      <c r="H375" s="5"/>
      <c r="I375" s="5"/>
      <c r="K375" s="6"/>
    </row>
    <row r="376" ht="15.75" customHeight="1">
      <c r="G376" s="5"/>
      <c r="H376" s="5"/>
      <c r="I376" s="5"/>
      <c r="K376" s="6"/>
    </row>
    <row r="377" ht="15.75" customHeight="1">
      <c r="G377" s="5"/>
      <c r="H377" s="5"/>
      <c r="I377" s="5"/>
      <c r="K377" s="6"/>
    </row>
    <row r="378" ht="15.75" customHeight="1">
      <c r="G378" s="5"/>
      <c r="H378" s="5"/>
      <c r="I378" s="5"/>
      <c r="K378" s="6"/>
    </row>
    <row r="379" ht="15.75" customHeight="1">
      <c r="G379" s="5"/>
      <c r="H379" s="5"/>
      <c r="I379" s="5"/>
      <c r="K379" s="6"/>
    </row>
    <row r="380" ht="15.75" customHeight="1">
      <c r="G380" s="5"/>
      <c r="H380" s="5"/>
      <c r="I380" s="5"/>
      <c r="K380" s="6"/>
    </row>
    <row r="381" ht="15.75" customHeight="1">
      <c r="G381" s="5"/>
      <c r="H381" s="5"/>
      <c r="I381" s="5"/>
      <c r="K381" s="6"/>
    </row>
    <row r="382" ht="15.75" customHeight="1">
      <c r="G382" s="5"/>
      <c r="H382" s="5"/>
      <c r="I382" s="5"/>
      <c r="K382" s="6"/>
    </row>
    <row r="383" ht="15.75" customHeight="1">
      <c r="G383" s="5"/>
      <c r="H383" s="5"/>
      <c r="I383" s="5"/>
      <c r="K383" s="6"/>
    </row>
    <row r="384" ht="15.75" customHeight="1">
      <c r="G384" s="5"/>
      <c r="H384" s="5"/>
      <c r="I384" s="5"/>
      <c r="K384" s="6"/>
    </row>
    <row r="385" ht="15.75" customHeight="1">
      <c r="G385" s="5"/>
      <c r="H385" s="5"/>
      <c r="I385" s="5"/>
      <c r="K385" s="6"/>
    </row>
    <row r="386" ht="15.75" customHeight="1">
      <c r="G386" s="5"/>
      <c r="H386" s="5"/>
      <c r="I386" s="5"/>
      <c r="K386" s="6"/>
    </row>
    <row r="387" ht="15.75" customHeight="1">
      <c r="G387" s="5"/>
      <c r="H387" s="5"/>
      <c r="I387" s="5"/>
      <c r="K387" s="6"/>
    </row>
    <row r="388" ht="15.75" customHeight="1">
      <c r="G388" s="5"/>
      <c r="H388" s="5"/>
      <c r="I388" s="5"/>
      <c r="K388" s="6"/>
    </row>
    <row r="389" ht="15.75" customHeight="1">
      <c r="G389" s="5"/>
      <c r="H389" s="5"/>
      <c r="I389" s="5"/>
      <c r="K389" s="6"/>
    </row>
    <row r="390" ht="15.75" customHeight="1">
      <c r="G390" s="5"/>
      <c r="H390" s="5"/>
      <c r="I390" s="5"/>
      <c r="K390" s="6"/>
    </row>
    <row r="391" ht="15.75" customHeight="1">
      <c r="G391" s="5"/>
      <c r="H391" s="5"/>
      <c r="I391" s="5"/>
      <c r="K391" s="6"/>
    </row>
    <row r="392" ht="15.75" customHeight="1">
      <c r="G392" s="5"/>
      <c r="H392" s="5"/>
      <c r="I392" s="5"/>
      <c r="K392" s="6"/>
    </row>
    <row r="393" ht="15.75" customHeight="1">
      <c r="G393" s="5"/>
      <c r="H393" s="5"/>
      <c r="I393" s="5"/>
      <c r="K393" s="6"/>
    </row>
    <row r="394" ht="15.75" customHeight="1">
      <c r="G394" s="5"/>
      <c r="H394" s="5"/>
      <c r="I394" s="5"/>
      <c r="K394" s="6"/>
    </row>
    <row r="395" ht="15.75" customHeight="1">
      <c r="G395" s="5"/>
      <c r="H395" s="5"/>
      <c r="I395" s="5"/>
      <c r="K395" s="6"/>
    </row>
    <row r="396" ht="15.75" customHeight="1">
      <c r="G396" s="5"/>
      <c r="H396" s="5"/>
      <c r="I396" s="5"/>
      <c r="K396" s="6"/>
    </row>
    <row r="397" ht="15.75" customHeight="1">
      <c r="G397" s="5"/>
      <c r="H397" s="5"/>
      <c r="I397" s="5"/>
      <c r="K397" s="6"/>
    </row>
    <row r="398" ht="15.75" customHeight="1">
      <c r="G398" s="5"/>
      <c r="H398" s="5"/>
      <c r="I398" s="5"/>
      <c r="K398" s="6"/>
    </row>
    <row r="399" ht="15.75" customHeight="1">
      <c r="G399" s="5"/>
      <c r="H399" s="5"/>
      <c r="I399" s="5"/>
      <c r="K399" s="6"/>
    </row>
    <row r="400" ht="15.75" customHeight="1">
      <c r="G400" s="5"/>
      <c r="H400" s="5"/>
      <c r="I400" s="5"/>
      <c r="K400" s="6"/>
    </row>
    <row r="401" ht="15.75" customHeight="1">
      <c r="G401" s="5"/>
      <c r="H401" s="5"/>
      <c r="I401" s="5"/>
      <c r="K401" s="6"/>
    </row>
    <row r="402" ht="15.75" customHeight="1">
      <c r="G402" s="5"/>
      <c r="H402" s="5"/>
      <c r="I402" s="5"/>
      <c r="K402" s="6"/>
    </row>
    <row r="403" ht="15.75" customHeight="1">
      <c r="G403" s="5"/>
      <c r="H403" s="5"/>
      <c r="I403" s="5"/>
      <c r="K403" s="6"/>
    </row>
    <row r="404" ht="15.75" customHeight="1">
      <c r="G404" s="5"/>
      <c r="H404" s="5"/>
      <c r="I404" s="5"/>
      <c r="K404" s="6"/>
    </row>
    <row r="405" ht="15.75" customHeight="1">
      <c r="G405" s="5"/>
      <c r="H405" s="5"/>
      <c r="I405" s="5"/>
      <c r="K405" s="6"/>
    </row>
    <row r="406" ht="15.75" customHeight="1">
      <c r="G406" s="5"/>
      <c r="H406" s="5"/>
      <c r="I406" s="5"/>
      <c r="K406" s="6"/>
    </row>
    <row r="407" ht="15.75" customHeight="1">
      <c r="G407" s="5"/>
      <c r="H407" s="5"/>
      <c r="I407" s="5"/>
      <c r="K407" s="6"/>
    </row>
    <row r="408" ht="15.75" customHeight="1">
      <c r="G408" s="5"/>
      <c r="H408" s="5"/>
      <c r="I408" s="5"/>
      <c r="K408" s="6"/>
    </row>
    <row r="409" ht="15.75" customHeight="1">
      <c r="G409" s="5"/>
      <c r="H409" s="5"/>
      <c r="I409" s="5"/>
      <c r="K409" s="6"/>
    </row>
    <row r="410" ht="15.75" customHeight="1">
      <c r="G410" s="5"/>
      <c r="H410" s="5"/>
      <c r="I410" s="5"/>
      <c r="K410" s="6"/>
    </row>
    <row r="411" ht="15.75" customHeight="1">
      <c r="G411" s="5"/>
      <c r="H411" s="5"/>
      <c r="I411" s="5"/>
      <c r="K411" s="6"/>
    </row>
    <row r="412" ht="15.75" customHeight="1">
      <c r="G412" s="5"/>
      <c r="H412" s="5"/>
      <c r="I412" s="5"/>
      <c r="K412" s="6"/>
    </row>
    <row r="413" ht="15.75" customHeight="1">
      <c r="G413" s="5"/>
      <c r="H413" s="5"/>
      <c r="I413" s="5"/>
      <c r="K413" s="6"/>
    </row>
    <row r="414" ht="15.75" customHeight="1">
      <c r="G414" s="5"/>
      <c r="H414" s="5"/>
      <c r="I414" s="5"/>
      <c r="K414" s="6"/>
    </row>
    <row r="415" ht="15.75" customHeight="1">
      <c r="G415" s="5"/>
      <c r="H415" s="5"/>
      <c r="I415" s="5"/>
      <c r="K415" s="6"/>
    </row>
    <row r="416" ht="15.75" customHeight="1">
      <c r="G416" s="5"/>
      <c r="H416" s="5"/>
      <c r="I416" s="5"/>
      <c r="K416" s="6"/>
    </row>
    <row r="417" ht="15.75" customHeight="1">
      <c r="G417" s="5"/>
      <c r="H417" s="5"/>
      <c r="I417" s="5"/>
      <c r="K417" s="6"/>
    </row>
    <row r="418" ht="15.75" customHeight="1">
      <c r="G418" s="5"/>
      <c r="H418" s="5"/>
      <c r="I418" s="5"/>
      <c r="K418" s="6"/>
    </row>
    <row r="419" ht="15.75" customHeight="1">
      <c r="G419" s="5"/>
      <c r="H419" s="5"/>
      <c r="I419" s="5"/>
      <c r="K419" s="6"/>
    </row>
    <row r="420" ht="15.75" customHeight="1">
      <c r="G420" s="5"/>
      <c r="H420" s="5"/>
      <c r="I420" s="5"/>
      <c r="K420" s="6"/>
    </row>
    <row r="421" ht="15.75" customHeight="1">
      <c r="G421" s="5"/>
      <c r="H421" s="5"/>
      <c r="I421" s="5"/>
      <c r="K421" s="6"/>
    </row>
    <row r="422" ht="15.75" customHeight="1">
      <c r="G422" s="5"/>
      <c r="H422" s="5"/>
      <c r="I422" s="5"/>
      <c r="K422" s="6"/>
    </row>
    <row r="423" ht="15.75" customHeight="1">
      <c r="G423" s="5"/>
      <c r="H423" s="5"/>
      <c r="I423" s="5"/>
      <c r="K423" s="6"/>
    </row>
    <row r="424" ht="15.75" customHeight="1">
      <c r="G424" s="5"/>
      <c r="H424" s="5"/>
      <c r="I424" s="5"/>
      <c r="K424" s="6"/>
    </row>
    <row r="425" ht="15.75" customHeight="1">
      <c r="G425" s="5"/>
      <c r="H425" s="5"/>
      <c r="I425" s="5"/>
      <c r="K425" s="6"/>
    </row>
    <row r="426" ht="15.75" customHeight="1">
      <c r="G426" s="5"/>
      <c r="H426" s="5"/>
      <c r="I426" s="5"/>
      <c r="K426" s="6"/>
    </row>
    <row r="427" ht="15.75" customHeight="1">
      <c r="G427" s="5"/>
      <c r="H427" s="5"/>
      <c r="I427" s="5"/>
      <c r="K427" s="6"/>
    </row>
    <row r="428" ht="15.75" customHeight="1">
      <c r="G428" s="5"/>
      <c r="H428" s="5"/>
      <c r="I428" s="5"/>
      <c r="K428" s="6"/>
    </row>
    <row r="429" ht="15.75" customHeight="1">
      <c r="G429" s="5"/>
      <c r="H429" s="5"/>
      <c r="I429" s="5"/>
      <c r="K429" s="6"/>
    </row>
    <row r="430" ht="15.75" customHeight="1">
      <c r="G430" s="5"/>
      <c r="H430" s="5"/>
      <c r="I430" s="5"/>
      <c r="K430" s="6"/>
    </row>
    <row r="431" ht="15.75" customHeight="1">
      <c r="G431" s="5"/>
      <c r="H431" s="5"/>
      <c r="I431" s="5"/>
      <c r="K431" s="6"/>
    </row>
    <row r="432" ht="15.75" customHeight="1">
      <c r="G432" s="5"/>
      <c r="H432" s="5"/>
      <c r="I432" s="5"/>
      <c r="K432" s="6"/>
    </row>
    <row r="433" ht="15.75" customHeight="1">
      <c r="G433" s="5"/>
      <c r="H433" s="5"/>
      <c r="I433" s="5"/>
      <c r="K433" s="6"/>
    </row>
    <row r="434" ht="15.75" customHeight="1">
      <c r="G434" s="5"/>
      <c r="H434" s="5"/>
      <c r="I434" s="5"/>
      <c r="K434" s="6"/>
    </row>
    <row r="435" ht="15.75" customHeight="1">
      <c r="G435" s="5"/>
      <c r="H435" s="5"/>
      <c r="I435" s="5"/>
      <c r="K435" s="6"/>
    </row>
    <row r="436" ht="15.75" customHeight="1">
      <c r="G436" s="5"/>
      <c r="H436" s="5"/>
      <c r="I436" s="5"/>
      <c r="K436" s="6"/>
    </row>
    <row r="437" ht="15.75" customHeight="1">
      <c r="G437" s="5"/>
      <c r="H437" s="5"/>
      <c r="I437" s="5"/>
      <c r="K437" s="6"/>
    </row>
    <row r="438" ht="15.75" customHeight="1">
      <c r="G438" s="5"/>
      <c r="H438" s="5"/>
      <c r="I438" s="5"/>
      <c r="K438" s="6"/>
    </row>
    <row r="439" ht="15.75" customHeight="1">
      <c r="G439" s="5"/>
      <c r="H439" s="5"/>
      <c r="I439" s="5"/>
      <c r="K439" s="6"/>
    </row>
    <row r="440" ht="15.75" customHeight="1">
      <c r="G440" s="5"/>
      <c r="H440" s="5"/>
      <c r="I440" s="5"/>
      <c r="K440" s="6"/>
    </row>
    <row r="441" ht="15.75" customHeight="1">
      <c r="G441" s="5"/>
      <c r="H441" s="5"/>
      <c r="I441" s="5"/>
      <c r="K441" s="6"/>
    </row>
    <row r="442" ht="15.75" customHeight="1">
      <c r="G442" s="5"/>
      <c r="H442" s="5"/>
      <c r="I442" s="5"/>
      <c r="K442" s="6"/>
    </row>
    <row r="443" ht="15.75" customHeight="1">
      <c r="G443" s="5"/>
      <c r="H443" s="5"/>
      <c r="I443" s="5"/>
      <c r="K443" s="6"/>
    </row>
    <row r="444" ht="15.75" customHeight="1">
      <c r="G444" s="5"/>
      <c r="H444" s="5"/>
      <c r="I444" s="5"/>
      <c r="K444" s="6"/>
    </row>
    <row r="445" ht="15.75" customHeight="1">
      <c r="G445" s="5"/>
      <c r="H445" s="5"/>
      <c r="I445" s="5"/>
      <c r="K445" s="6"/>
    </row>
    <row r="446" ht="15.75" customHeight="1">
      <c r="G446" s="5"/>
      <c r="H446" s="5"/>
      <c r="I446" s="5"/>
      <c r="K446" s="6"/>
    </row>
    <row r="447" ht="15.75" customHeight="1">
      <c r="G447" s="5"/>
      <c r="H447" s="5"/>
      <c r="I447" s="5"/>
      <c r="K447" s="6"/>
    </row>
    <row r="448" ht="15.75" customHeight="1">
      <c r="G448" s="5"/>
      <c r="H448" s="5"/>
      <c r="I448" s="5"/>
      <c r="K448" s="6"/>
    </row>
    <row r="449" ht="15.75" customHeight="1">
      <c r="G449" s="5"/>
      <c r="H449" s="5"/>
      <c r="I449" s="5"/>
      <c r="K449" s="6"/>
    </row>
    <row r="450" ht="15.75" customHeight="1">
      <c r="G450" s="5"/>
      <c r="H450" s="5"/>
      <c r="I450" s="5"/>
      <c r="K450" s="6"/>
    </row>
    <row r="451" ht="15.75" customHeight="1">
      <c r="G451" s="5"/>
      <c r="H451" s="5"/>
      <c r="I451" s="5"/>
      <c r="K451" s="6"/>
    </row>
    <row r="452" ht="15.75" customHeight="1">
      <c r="G452" s="5"/>
      <c r="H452" s="5"/>
      <c r="I452" s="5"/>
      <c r="K452" s="6"/>
    </row>
    <row r="453" ht="15.75" customHeight="1">
      <c r="G453" s="5"/>
      <c r="H453" s="5"/>
      <c r="I453" s="5"/>
      <c r="K453" s="6"/>
    </row>
    <row r="454" ht="15.75" customHeight="1">
      <c r="G454" s="5"/>
      <c r="H454" s="5"/>
      <c r="I454" s="5"/>
      <c r="K454" s="6"/>
    </row>
    <row r="455" ht="15.75" customHeight="1">
      <c r="G455" s="5"/>
      <c r="H455" s="5"/>
      <c r="I455" s="5"/>
      <c r="K455" s="6"/>
    </row>
    <row r="456" ht="15.75" customHeight="1">
      <c r="G456" s="5"/>
      <c r="H456" s="5"/>
      <c r="I456" s="5"/>
      <c r="K456" s="6"/>
    </row>
    <row r="457" ht="15.75" customHeight="1">
      <c r="G457" s="5"/>
      <c r="H457" s="5"/>
      <c r="I457" s="5"/>
      <c r="K457" s="6"/>
    </row>
    <row r="458" ht="15.75" customHeight="1">
      <c r="G458" s="5"/>
      <c r="H458" s="5"/>
      <c r="I458" s="5"/>
      <c r="K458" s="6"/>
    </row>
    <row r="459" ht="15.75" customHeight="1">
      <c r="G459" s="5"/>
      <c r="H459" s="5"/>
      <c r="I459" s="5"/>
      <c r="K459" s="6"/>
    </row>
    <row r="460" ht="15.75" customHeight="1">
      <c r="G460" s="5"/>
      <c r="H460" s="5"/>
      <c r="I460" s="5"/>
      <c r="K460" s="6"/>
    </row>
    <row r="461" ht="15.75" customHeight="1">
      <c r="G461" s="5"/>
      <c r="H461" s="5"/>
      <c r="I461" s="5"/>
      <c r="K461" s="6"/>
    </row>
    <row r="462" ht="15.75" customHeight="1">
      <c r="G462" s="5"/>
      <c r="H462" s="5"/>
      <c r="I462" s="5"/>
      <c r="K462" s="6"/>
    </row>
    <row r="463" ht="15.75" customHeight="1">
      <c r="G463" s="5"/>
      <c r="H463" s="5"/>
      <c r="I463" s="5"/>
      <c r="K463" s="6"/>
    </row>
    <row r="464" ht="15.75" customHeight="1">
      <c r="G464" s="5"/>
      <c r="H464" s="5"/>
      <c r="I464" s="5"/>
      <c r="K464" s="6"/>
    </row>
    <row r="465" ht="15.75" customHeight="1">
      <c r="G465" s="5"/>
      <c r="H465" s="5"/>
      <c r="I465" s="5"/>
      <c r="K465" s="6"/>
    </row>
    <row r="466" ht="15.75" customHeight="1">
      <c r="G466" s="5"/>
      <c r="H466" s="5"/>
      <c r="I466" s="5"/>
      <c r="K466" s="6"/>
    </row>
    <row r="467" ht="15.75" customHeight="1">
      <c r="G467" s="5"/>
      <c r="H467" s="5"/>
      <c r="I467" s="5"/>
      <c r="K467" s="6"/>
    </row>
    <row r="468" ht="15.75" customHeight="1">
      <c r="G468" s="5"/>
      <c r="H468" s="5"/>
      <c r="I468" s="5"/>
      <c r="K468" s="6"/>
    </row>
    <row r="469" ht="15.75" customHeight="1">
      <c r="G469" s="5"/>
      <c r="H469" s="5"/>
      <c r="I469" s="5"/>
      <c r="K469" s="6"/>
    </row>
    <row r="470" ht="15.75" customHeight="1">
      <c r="G470" s="5"/>
      <c r="H470" s="5"/>
      <c r="I470" s="5"/>
      <c r="K470" s="6"/>
    </row>
    <row r="471" ht="15.75" customHeight="1">
      <c r="G471" s="5"/>
      <c r="H471" s="5"/>
      <c r="I471" s="5"/>
      <c r="K471" s="6"/>
    </row>
    <row r="472" ht="15.75" customHeight="1">
      <c r="G472" s="5"/>
      <c r="H472" s="5"/>
      <c r="I472" s="5"/>
      <c r="K472" s="6"/>
    </row>
    <row r="473" ht="15.75" customHeight="1">
      <c r="G473" s="5"/>
      <c r="H473" s="5"/>
      <c r="I473" s="5"/>
      <c r="K473" s="6"/>
    </row>
    <row r="474" ht="15.75" customHeight="1">
      <c r="G474" s="5"/>
      <c r="H474" s="5"/>
      <c r="I474" s="5"/>
      <c r="K474" s="6"/>
    </row>
    <row r="475" ht="15.75" customHeight="1">
      <c r="G475" s="5"/>
      <c r="H475" s="5"/>
      <c r="I475" s="5"/>
      <c r="K475" s="6"/>
    </row>
    <row r="476" ht="15.75" customHeight="1">
      <c r="G476" s="5"/>
      <c r="H476" s="5"/>
      <c r="I476" s="5"/>
      <c r="K476" s="6"/>
    </row>
    <row r="477" ht="15.75" customHeight="1">
      <c r="G477" s="5"/>
      <c r="H477" s="5"/>
      <c r="I477" s="5"/>
      <c r="K477" s="6"/>
    </row>
    <row r="478" ht="15.75" customHeight="1">
      <c r="G478" s="5"/>
      <c r="H478" s="5"/>
      <c r="I478" s="5"/>
      <c r="K478" s="6"/>
    </row>
    <row r="479" ht="15.75" customHeight="1">
      <c r="G479" s="5"/>
      <c r="H479" s="5"/>
      <c r="I479" s="5"/>
      <c r="K479" s="6"/>
    </row>
    <row r="480" ht="15.75" customHeight="1">
      <c r="G480" s="5"/>
      <c r="H480" s="5"/>
      <c r="I480" s="5"/>
      <c r="K480" s="6"/>
    </row>
    <row r="481" ht="15.75" customHeight="1">
      <c r="G481" s="5"/>
      <c r="H481" s="5"/>
      <c r="I481" s="5"/>
      <c r="K481" s="6"/>
    </row>
    <row r="482" ht="15.75" customHeight="1">
      <c r="G482" s="5"/>
      <c r="H482" s="5"/>
      <c r="I482" s="5"/>
      <c r="K482" s="6"/>
    </row>
    <row r="483" ht="15.75" customHeight="1">
      <c r="G483" s="5"/>
      <c r="H483" s="5"/>
      <c r="I483" s="5"/>
      <c r="K483" s="6"/>
    </row>
    <row r="484" ht="15.75" customHeight="1">
      <c r="G484" s="5"/>
      <c r="H484" s="5"/>
      <c r="I484" s="5"/>
      <c r="K484" s="6"/>
    </row>
    <row r="485" ht="15.75" customHeight="1">
      <c r="G485" s="5"/>
      <c r="H485" s="5"/>
      <c r="I485" s="5"/>
      <c r="K485" s="6"/>
    </row>
    <row r="486" ht="15.75" customHeight="1">
      <c r="G486" s="5"/>
      <c r="H486" s="5"/>
      <c r="I486" s="5"/>
      <c r="K486" s="6"/>
    </row>
    <row r="487" ht="15.75" customHeight="1">
      <c r="G487" s="5"/>
      <c r="H487" s="5"/>
      <c r="I487" s="5"/>
      <c r="K487" s="6"/>
    </row>
    <row r="488" ht="15.75" customHeight="1">
      <c r="G488" s="5"/>
      <c r="H488" s="5"/>
      <c r="I488" s="5"/>
      <c r="K488" s="6"/>
    </row>
    <row r="489" ht="15.75" customHeight="1">
      <c r="G489" s="5"/>
      <c r="H489" s="5"/>
      <c r="I489" s="5"/>
      <c r="K489" s="6"/>
    </row>
    <row r="490" ht="15.75" customHeight="1">
      <c r="G490" s="5"/>
      <c r="H490" s="5"/>
      <c r="I490" s="5"/>
      <c r="K490" s="6"/>
    </row>
    <row r="491" ht="15.75" customHeight="1">
      <c r="G491" s="5"/>
      <c r="H491" s="5"/>
      <c r="I491" s="5"/>
      <c r="K491" s="6"/>
    </row>
    <row r="492" ht="15.75" customHeight="1">
      <c r="G492" s="5"/>
      <c r="H492" s="5"/>
      <c r="I492" s="5"/>
      <c r="K492" s="6"/>
    </row>
    <row r="493" ht="15.75" customHeight="1">
      <c r="G493" s="5"/>
      <c r="H493" s="5"/>
      <c r="I493" s="5"/>
      <c r="K493" s="6"/>
    </row>
    <row r="494" ht="15.75" customHeight="1">
      <c r="G494" s="5"/>
      <c r="H494" s="5"/>
      <c r="I494" s="5"/>
      <c r="K494" s="6"/>
    </row>
    <row r="495" ht="15.75" customHeight="1">
      <c r="G495" s="5"/>
      <c r="H495" s="5"/>
      <c r="I495" s="5"/>
      <c r="K495" s="6"/>
    </row>
    <row r="496" ht="15.75" customHeight="1">
      <c r="G496" s="5"/>
      <c r="H496" s="5"/>
      <c r="I496" s="5"/>
      <c r="K496" s="6"/>
    </row>
    <row r="497" ht="15.75" customHeight="1">
      <c r="G497" s="5"/>
      <c r="H497" s="5"/>
      <c r="I497" s="5"/>
      <c r="K497" s="6"/>
    </row>
    <row r="498" ht="15.75" customHeight="1">
      <c r="G498" s="5"/>
      <c r="H498" s="5"/>
      <c r="I498" s="5"/>
      <c r="K498" s="6"/>
    </row>
    <row r="499" ht="15.75" customHeight="1">
      <c r="G499" s="5"/>
      <c r="H499" s="5"/>
      <c r="I499" s="5"/>
      <c r="K499" s="6"/>
    </row>
    <row r="500" ht="15.75" customHeight="1">
      <c r="G500" s="5"/>
      <c r="H500" s="5"/>
      <c r="I500" s="5"/>
      <c r="K500" s="6"/>
    </row>
    <row r="501" ht="15.75" customHeight="1">
      <c r="G501" s="5"/>
      <c r="H501" s="5"/>
      <c r="I501" s="5"/>
      <c r="K501" s="6"/>
    </row>
    <row r="502" ht="15.75" customHeight="1">
      <c r="G502" s="5"/>
      <c r="H502" s="5"/>
      <c r="I502" s="5"/>
      <c r="K502" s="6"/>
    </row>
    <row r="503" ht="15.75" customHeight="1">
      <c r="G503" s="5"/>
      <c r="H503" s="5"/>
      <c r="I503" s="5"/>
      <c r="K503" s="6"/>
    </row>
    <row r="504" ht="15.75" customHeight="1">
      <c r="G504" s="5"/>
      <c r="H504" s="5"/>
      <c r="I504" s="5"/>
      <c r="K504" s="6"/>
    </row>
    <row r="505" ht="15.75" customHeight="1">
      <c r="G505" s="5"/>
      <c r="H505" s="5"/>
      <c r="I505" s="5"/>
      <c r="K505" s="6"/>
    </row>
    <row r="506" ht="15.75" customHeight="1">
      <c r="G506" s="5"/>
      <c r="H506" s="5"/>
      <c r="I506" s="5"/>
      <c r="K506" s="6"/>
    </row>
    <row r="507" ht="15.75" customHeight="1">
      <c r="G507" s="5"/>
      <c r="H507" s="5"/>
      <c r="I507" s="5"/>
      <c r="K507" s="6"/>
    </row>
    <row r="508" ht="15.75" customHeight="1">
      <c r="G508" s="5"/>
      <c r="H508" s="5"/>
      <c r="I508" s="5"/>
      <c r="K508" s="6"/>
    </row>
    <row r="509" ht="15.75" customHeight="1">
      <c r="G509" s="5"/>
      <c r="H509" s="5"/>
      <c r="I509" s="5"/>
      <c r="K509" s="6"/>
    </row>
    <row r="510" ht="15.75" customHeight="1">
      <c r="G510" s="5"/>
      <c r="H510" s="5"/>
      <c r="I510" s="5"/>
      <c r="K510" s="6"/>
    </row>
    <row r="511" ht="15.75" customHeight="1">
      <c r="G511" s="5"/>
      <c r="H511" s="5"/>
      <c r="I511" s="5"/>
      <c r="K511" s="6"/>
    </row>
    <row r="512" ht="15.75" customHeight="1">
      <c r="G512" s="5"/>
      <c r="H512" s="5"/>
      <c r="I512" s="5"/>
      <c r="K512" s="6"/>
    </row>
    <row r="513" ht="15.75" customHeight="1">
      <c r="G513" s="5"/>
      <c r="H513" s="5"/>
      <c r="I513" s="5"/>
      <c r="K513" s="6"/>
    </row>
    <row r="514" ht="15.75" customHeight="1">
      <c r="G514" s="5"/>
      <c r="H514" s="5"/>
      <c r="I514" s="5"/>
      <c r="K514" s="6"/>
    </row>
    <row r="515" ht="15.75" customHeight="1">
      <c r="G515" s="5"/>
      <c r="H515" s="5"/>
      <c r="I515" s="5"/>
      <c r="K515" s="6"/>
    </row>
    <row r="516" ht="15.75" customHeight="1">
      <c r="G516" s="5"/>
      <c r="H516" s="5"/>
      <c r="I516" s="5"/>
      <c r="K516" s="6"/>
    </row>
    <row r="517" ht="15.75" customHeight="1">
      <c r="G517" s="5"/>
      <c r="H517" s="5"/>
      <c r="I517" s="5"/>
      <c r="K517" s="6"/>
    </row>
    <row r="518" ht="15.75" customHeight="1">
      <c r="G518" s="5"/>
      <c r="H518" s="5"/>
      <c r="I518" s="5"/>
      <c r="K518" s="6"/>
    </row>
    <row r="519" ht="15.75" customHeight="1">
      <c r="G519" s="5"/>
      <c r="H519" s="5"/>
      <c r="I519" s="5"/>
      <c r="K519" s="6"/>
    </row>
    <row r="520" ht="15.75" customHeight="1">
      <c r="G520" s="5"/>
      <c r="H520" s="5"/>
      <c r="I520" s="5"/>
      <c r="K520" s="6"/>
    </row>
    <row r="521" ht="15.75" customHeight="1">
      <c r="G521" s="5"/>
      <c r="H521" s="5"/>
      <c r="I521" s="5"/>
      <c r="K521" s="6"/>
    </row>
    <row r="522" ht="15.75" customHeight="1">
      <c r="G522" s="5"/>
      <c r="H522" s="5"/>
      <c r="I522" s="5"/>
      <c r="K522" s="6"/>
    </row>
    <row r="523" ht="15.75" customHeight="1">
      <c r="G523" s="5"/>
      <c r="H523" s="5"/>
      <c r="I523" s="5"/>
      <c r="K523" s="6"/>
    </row>
    <row r="524" ht="15.75" customHeight="1">
      <c r="G524" s="5"/>
      <c r="H524" s="5"/>
      <c r="I524" s="5"/>
      <c r="K524" s="6"/>
    </row>
    <row r="525" ht="15.75" customHeight="1">
      <c r="G525" s="5"/>
      <c r="H525" s="5"/>
      <c r="I525" s="5"/>
      <c r="K525" s="6"/>
    </row>
    <row r="526" ht="15.75" customHeight="1">
      <c r="G526" s="5"/>
      <c r="H526" s="5"/>
      <c r="I526" s="5"/>
      <c r="K526" s="6"/>
    </row>
    <row r="527" ht="15.75" customHeight="1">
      <c r="G527" s="5"/>
      <c r="H527" s="5"/>
      <c r="I527" s="5"/>
      <c r="K527" s="6"/>
    </row>
    <row r="528" ht="15.75" customHeight="1">
      <c r="G528" s="5"/>
      <c r="H528" s="5"/>
      <c r="I528" s="5"/>
      <c r="K528" s="6"/>
    </row>
    <row r="529" ht="15.75" customHeight="1">
      <c r="G529" s="5"/>
      <c r="H529" s="5"/>
      <c r="I529" s="5"/>
      <c r="K529" s="6"/>
    </row>
    <row r="530" ht="15.75" customHeight="1">
      <c r="G530" s="5"/>
      <c r="H530" s="5"/>
      <c r="I530" s="5"/>
      <c r="K530" s="6"/>
    </row>
    <row r="531" ht="15.75" customHeight="1">
      <c r="G531" s="5"/>
      <c r="H531" s="5"/>
      <c r="I531" s="5"/>
      <c r="K531" s="6"/>
    </row>
    <row r="532" ht="15.75" customHeight="1">
      <c r="G532" s="5"/>
      <c r="H532" s="5"/>
      <c r="I532" s="5"/>
      <c r="K532" s="6"/>
    </row>
    <row r="533" ht="15.75" customHeight="1">
      <c r="G533" s="5"/>
      <c r="H533" s="5"/>
      <c r="I533" s="5"/>
      <c r="K533" s="6"/>
    </row>
    <row r="534" ht="15.75" customHeight="1">
      <c r="G534" s="5"/>
      <c r="H534" s="5"/>
      <c r="I534" s="5"/>
      <c r="K534" s="6"/>
    </row>
    <row r="535" ht="15.75" customHeight="1">
      <c r="G535" s="5"/>
      <c r="H535" s="5"/>
      <c r="I535" s="5"/>
      <c r="K535" s="6"/>
    </row>
    <row r="536" ht="15.75" customHeight="1">
      <c r="G536" s="5"/>
      <c r="H536" s="5"/>
      <c r="I536" s="5"/>
      <c r="K536" s="6"/>
    </row>
    <row r="537" ht="15.75" customHeight="1">
      <c r="G537" s="5"/>
      <c r="H537" s="5"/>
      <c r="I537" s="5"/>
      <c r="K537" s="6"/>
    </row>
    <row r="538" ht="15.75" customHeight="1">
      <c r="G538" s="5"/>
      <c r="H538" s="5"/>
      <c r="I538" s="5"/>
      <c r="K538" s="6"/>
    </row>
    <row r="539" ht="15.75" customHeight="1">
      <c r="G539" s="5"/>
      <c r="H539" s="5"/>
      <c r="I539" s="5"/>
      <c r="K539" s="6"/>
    </row>
    <row r="540" ht="15.75" customHeight="1">
      <c r="G540" s="5"/>
      <c r="H540" s="5"/>
      <c r="I540" s="5"/>
      <c r="K540" s="6"/>
    </row>
    <row r="541" ht="15.75" customHeight="1">
      <c r="G541" s="5"/>
      <c r="H541" s="5"/>
      <c r="I541" s="5"/>
      <c r="K541" s="6"/>
    </row>
    <row r="542" ht="15.75" customHeight="1">
      <c r="G542" s="5"/>
      <c r="H542" s="5"/>
      <c r="I542" s="5"/>
      <c r="K542" s="6"/>
    </row>
    <row r="543" ht="15.75" customHeight="1">
      <c r="G543" s="5"/>
      <c r="H543" s="5"/>
      <c r="I543" s="5"/>
      <c r="K543" s="6"/>
    </row>
    <row r="544" ht="15.75" customHeight="1">
      <c r="G544" s="5"/>
      <c r="H544" s="5"/>
      <c r="I544" s="5"/>
      <c r="K544" s="6"/>
    </row>
    <row r="545" ht="15.75" customHeight="1">
      <c r="G545" s="5"/>
      <c r="H545" s="5"/>
      <c r="I545" s="5"/>
      <c r="K545" s="6"/>
    </row>
    <row r="546" ht="15.75" customHeight="1">
      <c r="G546" s="5"/>
      <c r="H546" s="5"/>
      <c r="I546" s="5"/>
      <c r="K546" s="6"/>
    </row>
    <row r="547" ht="15.75" customHeight="1">
      <c r="G547" s="5"/>
      <c r="H547" s="5"/>
      <c r="I547" s="5"/>
      <c r="K547" s="6"/>
    </row>
    <row r="548" ht="15.75" customHeight="1">
      <c r="G548" s="5"/>
      <c r="H548" s="5"/>
      <c r="I548" s="5"/>
      <c r="K548" s="6"/>
    </row>
    <row r="549" ht="15.75" customHeight="1">
      <c r="G549" s="5"/>
      <c r="H549" s="5"/>
      <c r="I549" s="5"/>
      <c r="K549" s="6"/>
    </row>
    <row r="550" ht="15.75" customHeight="1">
      <c r="G550" s="5"/>
      <c r="H550" s="5"/>
      <c r="I550" s="5"/>
      <c r="K550" s="6"/>
    </row>
    <row r="551" ht="15.75" customHeight="1">
      <c r="G551" s="5"/>
      <c r="H551" s="5"/>
      <c r="I551" s="5"/>
      <c r="K551" s="6"/>
    </row>
    <row r="552" ht="15.75" customHeight="1">
      <c r="G552" s="5"/>
      <c r="H552" s="5"/>
      <c r="I552" s="5"/>
      <c r="K552" s="6"/>
    </row>
    <row r="553" ht="15.75" customHeight="1">
      <c r="G553" s="5"/>
      <c r="H553" s="5"/>
      <c r="I553" s="5"/>
      <c r="K553" s="6"/>
    </row>
    <row r="554" ht="15.75" customHeight="1">
      <c r="G554" s="5"/>
      <c r="H554" s="5"/>
      <c r="I554" s="5"/>
      <c r="K554" s="6"/>
    </row>
    <row r="555" ht="15.75" customHeight="1">
      <c r="G555" s="5"/>
      <c r="H555" s="5"/>
      <c r="I555" s="5"/>
      <c r="K555" s="6"/>
    </row>
    <row r="556" ht="15.75" customHeight="1">
      <c r="G556" s="5"/>
      <c r="H556" s="5"/>
      <c r="I556" s="5"/>
      <c r="K556" s="6"/>
    </row>
    <row r="557" ht="15.75" customHeight="1">
      <c r="G557" s="5"/>
      <c r="H557" s="5"/>
      <c r="I557" s="5"/>
      <c r="K557" s="6"/>
    </row>
    <row r="558" ht="15.75" customHeight="1">
      <c r="G558" s="5"/>
      <c r="H558" s="5"/>
      <c r="I558" s="5"/>
      <c r="K558" s="6"/>
    </row>
    <row r="559" ht="15.75" customHeight="1">
      <c r="G559" s="5"/>
      <c r="H559" s="5"/>
      <c r="I559" s="5"/>
      <c r="K559" s="6"/>
    </row>
    <row r="560" ht="15.75" customHeight="1">
      <c r="G560" s="5"/>
      <c r="H560" s="5"/>
      <c r="I560" s="5"/>
      <c r="K560" s="6"/>
    </row>
    <row r="561" ht="15.75" customHeight="1">
      <c r="G561" s="5"/>
      <c r="H561" s="5"/>
      <c r="I561" s="5"/>
      <c r="K561" s="6"/>
    </row>
    <row r="562" ht="15.75" customHeight="1">
      <c r="G562" s="5"/>
      <c r="H562" s="5"/>
      <c r="I562" s="5"/>
      <c r="K562" s="6"/>
    </row>
    <row r="563" ht="15.75" customHeight="1">
      <c r="G563" s="5"/>
      <c r="H563" s="5"/>
      <c r="I563" s="5"/>
      <c r="K563" s="6"/>
    </row>
    <row r="564" ht="15.75" customHeight="1">
      <c r="G564" s="5"/>
      <c r="H564" s="5"/>
      <c r="I564" s="5"/>
      <c r="K564" s="6"/>
    </row>
    <row r="565" ht="15.75" customHeight="1">
      <c r="G565" s="5"/>
      <c r="H565" s="5"/>
      <c r="I565" s="5"/>
      <c r="K565" s="6"/>
    </row>
    <row r="566" ht="15.75" customHeight="1">
      <c r="G566" s="5"/>
      <c r="H566" s="5"/>
      <c r="I566" s="5"/>
      <c r="K566" s="6"/>
    </row>
    <row r="567" ht="15.75" customHeight="1">
      <c r="G567" s="5"/>
      <c r="H567" s="5"/>
      <c r="I567" s="5"/>
      <c r="K567" s="6"/>
    </row>
    <row r="568" ht="15.75" customHeight="1">
      <c r="G568" s="5"/>
      <c r="H568" s="5"/>
      <c r="I568" s="5"/>
      <c r="K568" s="6"/>
    </row>
    <row r="569" ht="15.75" customHeight="1">
      <c r="G569" s="5"/>
      <c r="H569" s="5"/>
      <c r="I569" s="5"/>
      <c r="K569" s="6"/>
    </row>
    <row r="570" ht="15.75" customHeight="1">
      <c r="G570" s="5"/>
      <c r="H570" s="5"/>
      <c r="I570" s="5"/>
      <c r="K570" s="6"/>
    </row>
    <row r="571" ht="15.75" customHeight="1">
      <c r="G571" s="5"/>
      <c r="H571" s="5"/>
      <c r="I571" s="5"/>
      <c r="K571" s="6"/>
    </row>
    <row r="572" ht="15.75" customHeight="1">
      <c r="G572" s="5"/>
      <c r="H572" s="5"/>
      <c r="I572" s="5"/>
      <c r="K572" s="6"/>
    </row>
    <row r="573" ht="15.75" customHeight="1">
      <c r="G573" s="5"/>
      <c r="H573" s="5"/>
      <c r="I573" s="5"/>
      <c r="K573" s="6"/>
    </row>
    <row r="574" ht="15.75" customHeight="1">
      <c r="G574" s="5"/>
      <c r="H574" s="5"/>
      <c r="I574" s="5"/>
      <c r="K574" s="6"/>
    </row>
    <row r="575" ht="15.75" customHeight="1">
      <c r="G575" s="5"/>
      <c r="H575" s="5"/>
      <c r="I575" s="5"/>
      <c r="K575" s="6"/>
    </row>
    <row r="576" ht="15.75" customHeight="1">
      <c r="G576" s="5"/>
      <c r="H576" s="5"/>
      <c r="I576" s="5"/>
      <c r="K576" s="6"/>
    </row>
    <row r="577" ht="15.75" customHeight="1">
      <c r="G577" s="5"/>
      <c r="H577" s="5"/>
      <c r="I577" s="5"/>
      <c r="K577" s="6"/>
    </row>
    <row r="578" ht="15.75" customHeight="1">
      <c r="G578" s="5"/>
      <c r="H578" s="5"/>
      <c r="I578" s="5"/>
      <c r="K578" s="6"/>
    </row>
    <row r="579" ht="15.75" customHeight="1">
      <c r="G579" s="5"/>
      <c r="H579" s="5"/>
      <c r="I579" s="5"/>
      <c r="K579" s="6"/>
    </row>
    <row r="580" ht="15.75" customHeight="1">
      <c r="G580" s="5"/>
      <c r="H580" s="5"/>
      <c r="I580" s="5"/>
      <c r="K580" s="6"/>
    </row>
    <row r="581" ht="15.75" customHeight="1">
      <c r="G581" s="5"/>
      <c r="H581" s="5"/>
      <c r="I581" s="5"/>
      <c r="K581" s="6"/>
    </row>
    <row r="582" ht="15.75" customHeight="1">
      <c r="G582" s="5"/>
      <c r="H582" s="5"/>
      <c r="I582" s="5"/>
      <c r="K582" s="6"/>
    </row>
    <row r="583" ht="15.75" customHeight="1">
      <c r="G583" s="5"/>
      <c r="H583" s="5"/>
      <c r="I583" s="5"/>
      <c r="K583" s="6"/>
    </row>
    <row r="584" ht="15.75" customHeight="1">
      <c r="G584" s="5"/>
      <c r="H584" s="5"/>
      <c r="I584" s="5"/>
      <c r="K584" s="6"/>
    </row>
    <row r="585" ht="15.75" customHeight="1">
      <c r="G585" s="5"/>
      <c r="H585" s="5"/>
      <c r="I585" s="5"/>
      <c r="K585" s="6"/>
    </row>
    <row r="586" ht="15.75" customHeight="1">
      <c r="G586" s="5"/>
      <c r="H586" s="5"/>
      <c r="I586" s="5"/>
      <c r="K586" s="6"/>
    </row>
    <row r="587" ht="15.75" customHeight="1">
      <c r="G587" s="5"/>
      <c r="H587" s="5"/>
      <c r="I587" s="5"/>
      <c r="K587" s="6"/>
    </row>
    <row r="588" ht="15.75" customHeight="1">
      <c r="G588" s="5"/>
      <c r="H588" s="5"/>
      <c r="I588" s="5"/>
      <c r="K588" s="6"/>
    </row>
    <row r="589" ht="15.75" customHeight="1">
      <c r="G589" s="5"/>
      <c r="H589" s="5"/>
      <c r="I589" s="5"/>
      <c r="K589" s="6"/>
    </row>
    <row r="590" ht="15.75" customHeight="1">
      <c r="G590" s="5"/>
      <c r="H590" s="5"/>
      <c r="I590" s="5"/>
      <c r="K590" s="6"/>
    </row>
    <row r="591" ht="15.75" customHeight="1">
      <c r="G591" s="5"/>
      <c r="H591" s="5"/>
      <c r="I591" s="5"/>
      <c r="K591" s="6"/>
    </row>
    <row r="592" ht="15.75" customHeight="1">
      <c r="G592" s="5"/>
      <c r="H592" s="5"/>
      <c r="I592" s="5"/>
      <c r="K592" s="6"/>
    </row>
    <row r="593" ht="15.75" customHeight="1">
      <c r="G593" s="5"/>
      <c r="H593" s="5"/>
      <c r="I593" s="5"/>
      <c r="K593" s="6"/>
    </row>
    <row r="594" ht="15.75" customHeight="1">
      <c r="G594" s="5"/>
      <c r="H594" s="5"/>
      <c r="I594" s="5"/>
      <c r="K594" s="6"/>
    </row>
    <row r="595" ht="15.75" customHeight="1">
      <c r="G595" s="5"/>
      <c r="H595" s="5"/>
      <c r="I595" s="5"/>
      <c r="K595" s="6"/>
    </row>
    <row r="596" ht="15.75" customHeight="1">
      <c r="G596" s="5"/>
      <c r="H596" s="5"/>
      <c r="I596" s="5"/>
      <c r="K596" s="6"/>
    </row>
    <row r="597" ht="15.75" customHeight="1">
      <c r="G597" s="5"/>
      <c r="H597" s="5"/>
      <c r="I597" s="5"/>
      <c r="K597" s="6"/>
    </row>
    <row r="598" ht="15.75" customHeight="1">
      <c r="G598" s="5"/>
      <c r="H598" s="5"/>
      <c r="I598" s="5"/>
      <c r="K598" s="6"/>
    </row>
    <row r="599" ht="15.75" customHeight="1">
      <c r="G599" s="5"/>
      <c r="H599" s="5"/>
      <c r="I599" s="5"/>
      <c r="K599" s="6"/>
    </row>
    <row r="600" ht="15.75" customHeight="1">
      <c r="G600" s="5"/>
      <c r="H600" s="5"/>
      <c r="I600" s="5"/>
      <c r="K600" s="6"/>
    </row>
    <row r="601" ht="15.75" customHeight="1">
      <c r="G601" s="5"/>
      <c r="H601" s="5"/>
      <c r="I601" s="5"/>
      <c r="K601" s="6"/>
    </row>
    <row r="602" ht="15.75" customHeight="1">
      <c r="G602" s="5"/>
      <c r="H602" s="5"/>
      <c r="I602" s="5"/>
      <c r="K602" s="6"/>
    </row>
    <row r="603" ht="15.75" customHeight="1">
      <c r="G603" s="5"/>
      <c r="H603" s="5"/>
      <c r="I603" s="5"/>
      <c r="K603" s="6"/>
    </row>
    <row r="604" ht="15.75" customHeight="1">
      <c r="G604" s="5"/>
      <c r="H604" s="5"/>
      <c r="I604" s="5"/>
      <c r="K604" s="6"/>
    </row>
    <row r="605" ht="15.75" customHeight="1">
      <c r="G605" s="5"/>
      <c r="H605" s="5"/>
      <c r="I605" s="5"/>
      <c r="K605" s="6"/>
    </row>
    <row r="606" ht="15.75" customHeight="1">
      <c r="G606" s="5"/>
      <c r="H606" s="5"/>
      <c r="I606" s="5"/>
      <c r="K606" s="6"/>
    </row>
    <row r="607" ht="15.75" customHeight="1">
      <c r="G607" s="5"/>
      <c r="H607" s="5"/>
      <c r="I607" s="5"/>
      <c r="K607" s="6"/>
    </row>
    <row r="608" ht="15.75" customHeight="1">
      <c r="G608" s="5"/>
      <c r="H608" s="5"/>
      <c r="I608" s="5"/>
      <c r="K608" s="6"/>
    </row>
    <row r="609" ht="15.75" customHeight="1">
      <c r="G609" s="5"/>
      <c r="H609" s="5"/>
      <c r="I609" s="5"/>
      <c r="K609" s="6"/>
    </row>
    <row r="610" ht="15.75" customHeight="1">
      <c r="G610" s="5"/>
      <c r="H610" s="5"/>
      <c r="I610" s="5"/>
      <c r="K610" s="6"/>
    </row>
    <row r="611" ht="15.75" customHeight="1">
      <c r="G611" s="5"/>
      <c r="H611" s="5"/>
      <c r="I611" s="5"/>
      <c r="K611" s="6"/>
    </row>
    <row r="612" ht="15.75" customHeight="1">
      <c r="G612" s="5"/>
      <c r="H612" s="5"/>
      <c r="I612" s="5"/>
      <c r="K612" s="6"/>
    </row>
    <row r="613" ht="15.75" customHeight="1">
      <c r="G613" s="5"/>
      <c r="H613" s="5"/>
      <c r="I613" s="5"/>
      <c r="K613" s="6"/>
    </row>
    <row r="614" ht="15.75" customHeight="1">
      <c r="G614" s="5"/>
      <c r="H614" s="5"/>
      <c r="I614" s="5"/>
      <c r="K614" s="6"/>
    </row>
    <row r="615" ht="15.75" customHeight="1">
      <c r="G615" s="5"/>
      <c r="H615" s="5"/>
      <c r="I615" s="5"/>
      <c r="K615" s="6"/>
    </row>
    <row r="616" ht="15.75" customHeight="1">
      <c r="G616" s="5"/>
      <c r="H616" s="5"/>
      <c r="I616" s="5"/>
      <c r="K616" s="6"/>
    </row>
    <row r="617" ht="15.75" customHeight="1">
      <c r="G617" s="5"/>
      <c r="H617" s="5"/>
      <c r="I617" s="5"/>
      <c r="K617" s="6"/>
    </row>
    <row r="618" ht="15.75" customHeight="1">
      <c r="G618" s="5"/>
      <c r="H618" s="5"/>
      <c r="I618" s="5"/>
      <c r="K618" s="6"/>
    </row>
    <row r="619" ht="15.75" customHeight="1">
      <c r="G619" s="5"/>
      <c r="H619" s="5"/>
      <c r="I619" s="5"/>
      <c r="K619" s="6"/>
    </row>
    <row r="620" ht="15.75" customHeight="1">
      <c r="G620" s="5"/>
      <c r="H620" s="5"/>
      <c r="I620" s="5"/>
      <c r="K620" s="6"/>
    </row>
    <row r="621" ht="15.75" customHeight="1">
      <c r="G621" s="5"/>
      <c r="H621" s="5"/>
      <c r="I621" s="5"/>
      <c r="K621" s="6"/>
    </row>
    <row r="622" ht="15.75" customHeight="1">
      <c r="G622" s="5"/>
      <c r="H622" s="5"/>
      <c r="I622" s="5"/>
      <c r="K622" s="6"/>
    </row>
    <row r="623" ht="15.75" customHeight="1">
      <c r="G623" s="5"/>
      <c r="H623" s="5"/>
      <c r="I623" s="5"/>
      <c r="K623" s="6"/>
    </row>
    <row r="624" ht="15.75" customHeight="1">
      <c r="G624" s="5"/>
      <c r="H624" s="5"/>
      <c r="I624" s="5"/>
      <c r="K624" s="6"/>
    </row>
    <row r="625" ht="15.75" customHeight="1">
      <c r="G625" s="5"/>
      <c r="H625" s="5"/>
      <c r="I625" s="5"/>
      <c r="K625" s="6"/>
    </row>
    <row r="626" ht="15.75" customHeight="1">
      <c r="G626" s="5"/>
      <c r="H626" s="5"/>
      <c r="I626" s="5"/>
      <c r="K626" s="6"/>
    </row>
    <row r="627" ht="15.75" customHeight="1">
      <c r="G627" s="5"/>
      <c r="H627" s="5"/>
      <c r="I627" s="5"/>
      <c r="K627" s="6"/>
    </row>
    <row r="628" ht="15.75" customHeight="1">
      <c r="G628" s="5"/>
      <c r="H628" s="5"/>
      <c r="I628" s="5"/>
      <c r="K628" s="6"/>
    </row>
    <row r="629" ht="15.75" customHeight="1">
      <c r="G629" s="5"/>
      <c r="H629" s="5"/>
      <c r="I629" s="5"/>
      <c r="K629" s="6"/>
    </row>
    <row r="630" ht="15.75" customHeight="1">
      <c r="G630" s="5"/>
      <c r="H630" s="5"/>
      <c r="I630" s="5"/>
      <c r="K630" s="6"/>
    </row>
    <row r="631" ht="15.75" customHeight="1">
      <c r="G631" s="5"/>
      <c r="H631" s="5"/>
      <c r="I631" s="5"/>
      <c r="K631" s="6"/>
    </row>
    <row r="632" ht="15.75" customHeight="1">
      <c r="G632" s="5"/>
      <c r="H632" s="5"/>
      <c r="I632" s="5"/>
      <c r="K632" s="6"/>
    </row>
    <row r="633" ht="15.75" customHeight="1">
      <c r="G633" s="5"/>
      <c r="H633" s="5"/>
      <c r="I633" s="5"/>
      <c r="K633" s="6"/>
    </row>
    <row r="634" ht="15.75" customHeight="1">
      <c r="G634" s="5"/>
      <c r="H634" s="5"/>
      <c r="I634" s="5"/>
      <c r="K634" s="6"/>
    </row>
    <row r="635" ht="15.75" customHeight="1">
      <c r="G635" s="5"/>
      <c r="H635" s="5"/>
      <c r="I635" s="5"/>
      <c r="K635" s="6"/>
    </row>
    <row r="636" ht="15.75" customHeight="1">
      <c r="G636" s="5"/>
      <c r="H636" s="5"/>
      <c r="I636" s="5"/>
      <c r="K636" s="6"/>
    </row>
    <row r="637" ht="15.75" customHeight="1">
      <c r="G637" s="5"/>
      <c r="H637" s="5"/>
      <c r="I637" s="5"/>
      <c r="K637" s="6"/>
    </row>
    <row r="638" ht="15.75" customHeight="1">
      <c r="G638" s="5"/>
      <c r="H638" s="5"/>
      <c r="I638" s="5"/>
      <c r="K638" s="6"/>
    </row>
    <row r="639" ht="15.75" customHeight="1">
      <c r="G639" s="5"/>
      <c r="H639" s="5"/>
      <c r="I639" s="5"/>
      <c r="K639" s="6"/>
    </row>
    <row r="640" ht="15.75" customHeight="1">
      <c r="G640" s="5"/>
      <c r="H640" s="5"/>
      <c r="I640" s="5"/>
      <c r="K640" s="6"/>
    </row>
    <row r="641" ht="15.75" customHeight="1">
      <c r="G641" s="5"/>
      <c r="H641" s="5"/>
      <c r="I641" s="5"/>
      <c r="K641" s="6"/>
    </row>
    <row r="642" ht="15.75" customHeight="1">
      <c r="G642" s="5"/>
      <c r="H642" s="5"/>
      <c r="I642" s="5"/>
      <c r="K642" s="6"/>
    </row>
    <row r="643" ht="15.75" customHeight="1">
      <c r="G643" s="5"/>
      <c r="H643" s="5"/>
      <c r="I643" s="5"/>
      <c r="K643" s="6"/>
    </row>
    <row r="644" ht="15.75" customHeight="1">
      <c r="G644" s="5"/>
      <c r="H644" s="5"/>
      <c r="I644" s="5"/>
      <c r="K644" s="6"/>
    </row>
    <row r="645" ht="15.75" customHeight="1">
      <c r="G645" s="5"/>
      <c r="H645" s="5"/>
      <c r="I645" s="5"/>
      <c r="K645" s="6"/>
    </row>
    <row r="646" ht="15.75" customHeight="1">
      <c r="G646" s="5"/>
      <c r="H646" s="5"/>
      <c r="I646" s="5"/>
      <c r="K646" s="6"/>
    </row>
    <row r="647" ht="15.75" customHeight="1">
      <c r="G647" s="5"/>
      <c r="H647" s="5"/>
      <c r="I647" s="5"/>
      <c r="K647" s="6"/>
    </row>
    <row r="648" ht="15.75" customHeight="1">
      <c r="G648" s="5"/>
      <c r="H648" s="5"/>
      <c r="I648" s="5"/>
      <c r="K648" s="6"/>
    </row>
    <row r="649" ht="15.75" customHeight="1">
      <c r="G649" s="5"/>
      <c r="H649" s="5"/>
      <c r="I649" s="5"/>
      <c r="K649" s="6"/>
    </row>
    <row r="650" ht="15.75" customHeight="1">
      <c r="G650" s="5"/>
      <c r="H650" s="5"/>
      <c r="I650" s="5"/>
      <c r="K650" s="6"/>
    </row>
    <row r="651" ht="15.75" customHeight="1">
      <c r="G651" s="5"/>
      <c r="H651" s="5"/>
      <c r="I651" s="5"/>
      <c r="K651" s="6"/>
    </row>
    <row r="652" ht="15.75" customHeight="1">
      <c r="G652" s="5"/>
      <c r="H652" s="5"/>
      <c r="I652" s="5"/>
      <c r="K652" s="6"/>
    </row>
    <row r="653" ht="15.75" customHeight="1">
      <c r="G653" s="5"/>
      <c r="H653" s="5"/>
      <c r="I653" s="5"/>
      <c r="K653" s="6"/>
    </row>
    <row r="654" ht="15.75" customHeight="1">
      <c r="G654" s="5"/>
      <c r="H654" s="5"/>
      <c r="I654" s="5"/>
      <c r="K654" s="6"/>
    </row>
    <row r="655" ht="15.75" customHeight="1">
      <c r="G655" s="5"/>
      <c r="H655" s="5"/>
      <c r="I655" s="5"/>
      <c r="K655" s="6"/>
    </row>
    <row r="656" ht="15.75" customHeight="1">
      <c r="G656" s="5"/>
      <c r="H656" s="5"/>
      <c r="I656" s="5"/>
      <c r="K656" s="6"/>
    </row>
    <row r="657" ht="15.75" customHeight="1">
      <c r="G657" s="5"/>
      <c r="H657" s="5"/>
      <c r="I657" s="5"/>
      <c r="K657" s="6"/>
    </row>
    <row r="658" ht="15.75" customHeight="1">
      <c r="G658" s="5"/>
      <c r="H658" s="5"/>
      <c r="I658" s="5"/>
      <c r="K658" s="6"/>
    </row>
    <row r="659" ht="15.75" customHeight="1">
      <c r="G659" s="5"/>
      <c r="H659" s="5"/>
      <c r="I659" s="5"/>
      <c r="K659" s="6"/>
    </row>
    <row r="660" ht="15.75" customHeight="1">
      <c r="G660" s="5"/>
      <c r="H660" s="5"/>
      <c r="I660" s="5"/>
      <c r="K660" s="6"/>
    </row>
    <row r="661" ht="15.75" customHeight="1">
      <c r="G661" s="5"/>
      <c r="H661" s="5"/>
      <c r="I661" s="5"/>
      <c r="K661" s="6"/>
    </row>
    <row r="662" ht="15.75" customHeight="1">
      <c r="G662" s="5"/>
      <c r="H662" s="5"/>
      <c r="I662" s="5"/>
      <c r="K662" s="6"/>
    </row>
    <row r="663" ht="15.75" customHeight="1">
      <c r="G663" s="5"/>
      <c r="H663" s="5"/>
      <c r="I663" s="5"/>
      <c r="K663" s="6"/>
    </row>
    <row r="664" ht="15.75" customHeight="1">
      <c r="G664" s="5"/>
      <c r="H664" s="5"/>
      <c r="I664" s="5"/>
      <c r="K664" s="6"/>
    </row>
    <row r="665" ht="15.75" customHeight="1">
      <c r="G665" s="5"/>
      <c r="H665" s="5"/>
      <c r="I665" s="5"/>
      <c r="K665" s="6"/>
    </row>
    <row r="666" ht="15.75" customHeight="1">
      <c r="G666" s="5"/>
      <c r="H666" s="5"/>
      <c r="I666" s="5"/>
      <c r="K666" s="6"/>
    </row>
    <row r="667" ht="15.75" customHeight="1">
      <c r="G667" s="5"/>
      <c r="H667" s="5"/>
      <c r="I667" s="5"/>
      <c r="K667" s="6"/>
    </row>
    <row r="668" ht="15.75" customHeight="1">
      <c r="G668" s="5"/>
      <c r="H668" s="5"/>
      <c r="I668" s="5"/>
      <c r="K668" s="6"/>
    </row>
    <row r="669" ht="15.75" customHeight="1">
      <c r="G669" s="5"/>
      <c r="H669" s="5"/>
      <c r="I669" s="5"/>
      <c r="K669" s="6"/>
    </row>
    <row r="670" ht="15.75" customHeight="1">
      <c r="G670" s="5"/>
      <c r="H670" s="5"/>
      <c r="I670" s="5"/>
      <c r="K670" s="6"/>
    </row>
    <row r="671" ht="15.75" customHeight="1">
      <c r="G671" s="5"/>
      <c r="H671" s="5"/>
      <c r="I671" s="5"/>
      <c r="K671" s="6"/>
    </row>
    <row r="672" ht="15.75" customHeight="1">
      <c r="G672" s="5"/>
      <c r="H672" s="5"/>
      <c r="I672" s="5"/>
      <c r="K672" s="6"/>
    </row>
    <row r="673" ht="15.75" customHeight="1">
      <c r="G673" s="5"/>
      <c r="H673" s="5"/>
      <c r="I673" s="5"/>
      <c r="K673" s="6"/>
    </row>
    <row r="674" ht="15.75" customHeight="1">
      <c r="G674" s="5"/>
      <c r="H674" s="5"/>
      <c r="I674" s="5"/>
      <c r="K674" s="6"/>
    </row>
    <row r="675" ht="15.75" customHeight="1">
      <c r="G675" s="5"/>
      <c r="H675" s="5"/>
      <c r="I675" s="5"/>
      <c r="K675" s="6"/>
    </row>
    <row r="676" ht="15.75" customHeight="1">
      <c r="G676" s="5"/>
      <c r="H676" s="5"/>
      <c r="I676" s="5"/>
      <c r="K676" s="6"/>
    </row>
    <row r="677" ht="15.75" customHeight="1">
      <c r="G677" s="5"/>
      <c r="H677" s="5"/>
      <c r="I677" s="5"/>
      <c r="K677" s="6"/>
    </row>
    <row r="678" ht="15.75" customHeight="1">
      <c r="G678" s="5"/>
      <c r="H678" s="5"/>
      <c r="I678" s="5"/>
      <c r="K678" s="6"/>
    </row>
    <row r="679" ht="15.75" customHeight="1">
      <c r="G679" s="5"/>
      <c r="H679" s="5"/>
      <c r="I679" s="5"/>
      <c r="K679" s="6"/>
    </row>
    <row r="680" ht="15.75" customHeight="1">
      <c r="G680" s="5"/>
      <c r="H680" s="5"/>
      <c r="I680" s="5"/>
      <c r="K680" s="6"/>
    </row>
    <row r="681" ht="15.75" customHeight="1">
      <c r="G681" s="5"/>
      <c r="H681" s="5"/>
      <c r="I681" s="5"/>
      <c r="K681" s="6"/>
    </row>
    <row r="682" ht="15.75" customHeight="1">
      <c r="G682" s="5"/>
      <c r="H682" s="5"/>
      <c r="I682" s="5"/>
      <c r="K682" s="6"/>
    </row>
    <row r="683" ht="15.75" customHeight="1">
      <c r="G683" s="5"/>
      <c r="H683" s="5"/>
      <c r="I683" s="5"/>
      <c r="K683" s="6"/>
    </row>
    <row r="684" ht="15.75" customHeight="1">
      <c r="G684" s="5"/>
      <c r="H684" s="5"/>
      <c r="I684" s="5"/>
      <c r="K684" s="6"/>
    </row>
    <row r="685" ht="15.75" customHeight="1">
      <c r="G685" s="5"/>
      <c r="H685" s="5"/>
      <c r="I685" s="5"/>
      <c r="K685" s="6"/>
    </row>
    <row r="686" ht="15.75" customHeight="1">
      <c r="G686" s="5"/>
      <c r="H686" s="5"/>
      <c r="I686" s="5"/>
      <c r="K686" s="6"/>
    </row>
    <row r="687" ht="15.75" customHeight="1">
      <c r="G687" s="5"/>
      <c r="H687" s="5"/>
      <c r="I687" s="5"/>
      <c r="K687" s="6"/>
    </row>
    <row r="688" ht="15.75" customHeight="1">
      <c r="G688" s="5"/>
      <c r="H688" s="5"/>
      <c r="I688" s="5"/>
      <c r="K688" s="6"/>
    </row>
    <row r="689" ht="15.75" customHeight="1">
      <c r="G689" s="5"/>
      <c r="H689" s="5"/>
      <c r="I689" s="5"/>
      <c r="K689" s="6"/>
    </row>
    <row r="690" ht="15.75" customHeight="1">
      <c r="G690" s="5"/>
      <c r="H690" s="5"/>
      <c r="I690" s="5"/>
      <c r="K690" s="6"/>
    </row>
    <row r="691" ht="15.75" customHeight="1">
      <c r="G691" s="5"/>
      <c r="H691" s="5"/>
      <c r="I691" s="5"/>
      <c r="K691" s="6"/>
    </row>
    <row r="692" ht="15.75" customHeight="1">
      <c r="G692" s="5"/>
      <c r="H692" s="5"/>
      <c r="I692" s="5"/>
      <c r="K692" s="6"/>
    </row>
    <row r="693" ht="15.75" customHeight="1">
      <c r="G693" s="5"/>
      <c r="H693" s="5"/>
      <c r="I693" s="5"/>
      <c r="K693" s="6"/>
    </row>
    <row r="694" ht="15.75" customHeight="1">
      <c r="G694" s="5"/>
      <c r="H694" s="5"/>
      <c r="I694" s="5"/>
      <c r="K694" s="6"/>
    </row>
    <row r="695" ht="15.75" customHeight="1">
      <c r="G695" s="5"/>
      <c r="H695" s="5"/>
      <c r="I695" s="5"/>
      <c r="K695" s="6"/>
    </row>
    <row r="696" ht="15.75" customHeight="1">
      <c r="G696" s="5"/>
      <c r="H696" s="5"/>
      <c r="I696" s="5"/>
      <c r="K696" s="6"/>
    </row>
    <row r="697" ht="15.75" customHeight="1">
      <c r="G697" s="5"/>
      <c r="H697" s="5"/>
      <c r="I697" s="5"/>
      <c r="K697" s="6"/>
    </row>
    <row r="698" ht="15.75" customHeight="1">
      <c r="G698" s="5"/>
      <c r="H698" s="5"/>
      <c r="I698" s="5"/>
      <c r="K698" s="6"/>
    </row>
    <row r="699" ht="15.75" customHeight="1">
      <c r="G699" s="5"/>
      <c r="H699" s="5"/>
      <c r="I699" s="5"/>
      <c r="K699" s="6"/>
    </row>
    <row r="700" ht="15.75" customHeight="1">
      <c r="G700" s="5"/>
      <c r="H700" s="5"/>
      <c r="I700" s="5"/>
      <c r="K700" s="6"/>
    </row>
    <row r="701" ht="15.75" customHeight="1">
      <c r="G701" s="5"/>
      <c r="H701" s="5"/>
      <c r="I701" s="5"/>
      <c r="K701" s="6"/>
    </row>
    <row r="702" ht="15.75" customHeight="1">
      <c r="G702" s="5"/>
      <c r="H702" s="5"/>
      <c r="I702" s="5"/>
      <c r="K702" s="6"/>
    </row>
    <row r="703" ht="15.75" customHeight="1">
      <c r="G703" s="5"/>
      <c r="H703" s="5"/>
      <c r="I703" s="5"/>
      <c r="K703" s="6"/>
    </row>
    <row r="704" ht="15.75" customHeight="1">
      <c r="G704" s="5"/>
      <c r="H704" s="5"/>
      <c r="I704" s="5"/>
      <c r="K704" s="6"/>
    </row>
    <row r="705" ht="15.75" customHeight="1">
      <c r="G705" s="5"/>
      <c r="H705" s="5"/>
      <c r="I705" s="5"/>
      <c r="K705" s="6"/>
    </row>
    <row r="706" ht="15.75" customHeight="1">
      <c r="G706" s="5"/>
      <c r="H706" s="5"/>
      <c r="I706" s="5"/>
      <c r="K706" s="6"/>
    </row>
    <row r="707" ht="15.75" customHeight="1">
      <c r="G707" s="5"/>
      <c r="H707" s="5"/>
      <c r="I707" s="5"/>
      <c r="K707" s="6"/>
    </row>
    <row r="708" ht="15.75" customHeight="1">
      <c r="G708" s="5"/>
      <c r="H708" s="5"/>
      <c r="I708" s="5"/>
      <c r="K708" s="6"/>
    </row>
    <row r="709" ht="15.75" customHeight="1">
      <c r="G709" s="5"/>
      <c r="H709" s="5"/>
      <c r="I709" s="5"/>
      <c r="K709" s="6"/>
    </row>
    <row r="710" ht="15.75" customHeight="1">
      <c r="G710" s="5"/>
      <c r="H710" s="5"/>
      <c r="I710" s="5"/>
      <c r="K710" s="6"/>
    </row>
    <row r="711" ht="15.75" customHeight="1">
      <c r="G711" s="5"/>
      <c r="H711" s="5"/>
      <c r="I711" s="5"/>
      <c r="K711" s="6"/>
    </row>
    <row r="712" ht="15.75" customHeight="1">
      <c r="G712" s="5"/>
      <c r="H712" s="5"/>
      <c r="I712" s="5"/>
      <c r="K712" s="6"/>
    </row>
    <row r="713" ht="15.75" customHeight="1">
      <c r="G713" s="5"/>
      <c r="H713" s="5"/>
      <c r="I713" s="5"/>
      <c r="K713" s="6"/>
    </row>
    <row r="714" ht="15.75" customHeight="1">
      <c r="G714" s="5"/>
      <c r="H714" s="5"/>
      <c r="I714" s="5"/>
      <c r="K714" s="6"/>
    </row>
    <row r="715" ht="15.75" customHeight="1">
      <c r="G715" s="5"/>
      <c r="H715" s="5"/>
      <c r="I715" s="5"/>
      <c r="K715" s="6"/>
    </row>
    <row r="716" ht="15.75" customHeight="1">
      <c r="G716" s="5"/>
      <c r="H716" s="5"/>
      <c r="I716" s="5"/>
      <c r="K716" s="6"/>
    </row>
    <row r="717" ht="15.75" customHeight="1">
      <c r="G717" s="5"/>
      <c r="H717" s="5"/>
      <c r="I717" s="5"/>
      <c r="K717" s="6"/>
    </row>
    <row r="718" ht="15.75" customHeight="1">
      <c r="G718" s="5"/>
      <c r="H718" s="5"/>
      <c r="I718" s="5"/>
      <c r="K718" s="6"/>
    </row>
    <row r="719" ht="15.75" customHeight="1">
      <c r="G719" s="5"/>
      <c r="H719" s="5"/>
      <c r="I719" s="5"/>
      <c r="K719" s="6"/>
    </row>
    <row r="720" ht="15.75" customHeight="1">
      <c r="G720" s="5"/>
      <c r="H720" s="5"/>
      <c r="I720" s="5"/>
      <c r="K720" s="6"/>
    </row>
    <row r="721" ht="15.75" customHeight="1">
      <c r="G721" s="5"/>
      <c r="H721" s="5"/>
      <c r="I721" s="5"/>
      <c r="K721" s="6"/>
    </row>
    <row r="722" ht="15.75" customHeight="1">
      <c r="G722" s="5"/>
      <c r="H722" s="5"/>
      <c r="I722" s="5"/>
      <c r="K722" s="6"/>
    </row>
    <row r="723" ht="15.75" customHeight="1">
      <c r="G723" s="5"/>
      <c r="H723" s="5"/>
      <c r="I723" s="5"/>
      <c r="K723" s="6"/>
    </row>
    <row r="724" ht="15.75" customHeight="1">
      <c r="G724" s="5"/>
      <c r="H724" s="5"/>
      <c r="I724" s="5"/>
      <c r="K724" s="6"/>
    </row>
    <row r="725" ht="15.75" customHeight="1">
      <c r="G725" s="5"/>
      <c r="H725" s="5"/>
      <c r="I725" s="5"/>
      <c r="K725" s="6"/>
    </row>
    <row r="726" ht="15.75" customHeight="1">
      <c r="G726" s="5"/>
      <c r="H726" s="5"/>
      <c r="I726" s="5"/>
      <c r="K726" s="6"/>
    </row>
    <row r="727" ht="15.75" customHeight="1">
      <c r="G727" s="5"/>
      <c r="H727" s="5"/>
      <c r="I727" s="5"/>
      <c r="K727" s="6"/>
    </row>
    <row r="728" ht="15.75" customHeight="1">
      <c r="G728" s="5"/>
      <c r="H728" s="5"/>
      <c r="I728" s="5"/>
      <c r="K728" s="6"/>
    </row>
    <row r="729" ht="15.75" customHeight="1">
      <c r="G729" s="5"/>
      <c r="H729" s="5"/>
      <c r="I729" s="5"/>
      <c r="K729" s="6"/>
    </row>
    <row r="730" ht="15.75" customHeight="1">
      <c r="G730" s="5"/>
      <c r="H730" s="5"/>
      <c r="I730" s="5"/>
      <c r="K730" s="6"/>
    </row>
    <row r="731" ht="15.75" customHeight="1">
      <c r="G731" s="5"/>
      <c r="H731" s="5"/>
      <c r="I731" s="5"/>
      <c r="K731" s="6"/>
    </row>
    <row r="732" ht="15.75" customHeight="1">
      <c r="G732" s="5"/>
      <c r="H732" s="5"/>
      <c r="I732" s="5"/>
      <c r="K732" s="6"/>
    </row>
    <row r="733" ht="15.75" customHeight="1">
      <c r="G733" s="5"/>
      <c r="H733" s="5"/>
      <c r="I733" s="5"/>
      <c r="K733" s="6"/>
    </row>
    <row r="734" ht="15.75" customHeight="1">
      <c r="G734" s="5"/>
      <c r="H734" s="5"/>
      <c r="I734" s="5"/>
      <c r="K734" s="6"/>
    </row>
    <row r="735" ht="15.75" customHeight="1">
      <c r="G735" s="5"/>
      <c r="H735" s="5"/>
      <c r="I735" s="5"/>
      <c r="K735" s="6"/>
    </row>
    <row r="736" ht="15.75" customHeight="1">
      <c r="G736" s="5"/>
      <c r="H736" s="5"/>
      <c r="I736" s="5"/>
      <c r="K736" s="6"/>
    </row>
    <row r="737" ht="15.75" customHeight="1">
      <c r="G737" s="5"/>
      <c r="H737" s="5"/>
      <c r="I737" s="5"/>
      <c r="K737" s="6"/>
    </row>
    <row r="738" ht="15.75" customHeight="1">
      <c r="G738" s="5"/>
      <c r="H738" s="5"/>
      <c r="I738" s="5"/>
      <c r="K738" s="6"/>
    </row>
    <row r="739" ht="15.75" customHeight="1">
      <c r="G739" s="5"/>
      <c r="H739" s="5"/>
      <c r="I739" s="5"/>
      <c r="K739" s="6"/>
    </row>
    <row r="740" ht="15.75" customHeight="1">
      <c r="G740" s="5"/>
      <c r="H740" s="5"/>
      <c r="I740" s="5"/>
      <c r="K740" s="6"/>
    </row>
    <row r="741" ht="15.75" customHeight="1">
      <c r="G741" s="5"/>
      <c r="H741" s="5"/>
      <c r="I741" s="5"/>
      <c r="K741" s="6"/>
    </row>
    <row r="742" ht="15.75" customHeight="1">
      <c r="G742" s="5"/>
      <c r="H742" s="5"/>
      <c r="I742" s="5"/>
      <c r="K742" s="6"/>
    </row>
    <row r="743" ht="15.75" customHeight="1">
      <c r="G743" s="5"/>
      <c r="H743" s="5"/>
      <c r="I743" s="5"/>
      <c r="K743" s="6"/>
    </row>
    <row r="744" ht="15.75" customHeight="1">
      <c r="G744" s="5"/>
      <c r="H744" s="5"/>
      <c r="I744" s="5"/>
      <c r="K744" s="6"/>
    </row>
    <row r="745" ht="15.75" customHeight="1">
      <c r="G745" s="5"/>
      <c r="H745" s="5"/>
      <c r="I745" s="5"/>
      <c r="K745" s="6"/>
    </row>
    <row r="746" ht="15.75" customHeight="1">
      <c r="G746" s="5"/>
      <c r="H746" s="5"/>
      <c r="I746" s="5"/>
      <c r="K746" s="6"/>
    </row>
    <row r="747" ht="15.75" customHeight="1">
      <c r="G747" s="5"/>
      <c r="H747" s="5"/>
      <c r="I747" s="5"/>
      <c r="K747" s="6"/>
    </row>
    <row r="748" ht="15.75" customHeight="1">
      <c r="G748" s="5"/>
      <c r="H748" s="5"/>
      <c r="I748" s="5"/>
      <c r="K748" s="6"/>
    </row>
    <row r="749" ht="15.75" customHeight="1">
      <c r="G749" s="5"/>
      <c r="H749" s="5"/>
      <c r="I749" s="5"/>
      <c r="K749" s="6"/>
    </row>
    <row r="750" ht="15.75" customHeight="1">
      <c r="G750" s="5"/>
      <c r="H750" s="5"/>
      <c r="I750" s="5"/>
      <c r="K750" s="6"/>
    </row>
    <row r="751" ht="15.75" customHeight="1">
      <c r="G751" s="5"/>
      <c r="H751" s="5"/>
      <c r="I751" s="5"/>
      <c r="K751" s="6"/>
    </row>
    <row r="752" ht="15.75" customHeight="1">
      <c r="G752" s="5"/>
      <c r="H752" s="5"/>
      <c r="I752" s="5"/>
      <c r="K752" s="6"/>
    </row>
    <row r="753" ht="15.75" customHeight="1">
      <c r="G753" s="5"/>
      <c r="H753" s="5"/>
      <c r="I753" s="5"/>
      <c r="K753" s="6"/>
    </row>
    <row r="754" ht="15.75" customHeight="1">
      <c r="G754" s="5"/>
      <c r="H754" s="5"/>
      <c r="I754" s="5"/>
      <c r="K754" s="6"/>
    </row>
    <row r="755" ht="15.75" customHeight="1">
      <c r="G755" s="5"/>
      <c r="H755" s="5"/>
      <c r="I755" s="5"/>
      <c r="K755" s="6"/>
    </row>
    <row r="756" ht="15.75" customHeight="1">
      <c r="G756" s="5"/>
      <c r="H756" s="5"/>
      <c r="I756" s="5"/>
      <c r="K756" s="6"/>
    </row>
    <row r="757" ht="15.75" customHeight="1">
      <c r="G757" s="5"/>
      <c r="H757" s="5"/>
      <c r="I757" s="5"/>
      <c r="K757" s="6"/>
    </row>
    <row r="758" ht="15.75" customHeight="1">
      <c r="G758" s="5"/>
      <c r="H758" s="5"/>
      <c r="I758" s="5"/>
      <c r="K758" s="6"/>
    </row>
    <row r="759" ht="15.75" customHeight="1">
      <c r="G759" s="5"/>
      <c r="H759" s="5"/>
      <c r="I759" s="5"/>
      <c r="K759" s="6"/>
    </row>
    <row r="760" ht="15.75" customHeight="1">
      <c r="G760" s="5"/>
      <c r="H760" s="5"/>
      <c r="I760" s="5"/>
      <c r="K760" s="6"/>
    </row>
    <row r="761" ht="15.75" customHeight="1">
      <c r="G761" s="5"/>
      <c r="H761" s="5"/>
      <c r="I761" s="5"/>
      <c r="K761" s="6"/>
    </row>
    <row r="762" ht="15.75" customHeight="1">
      <c r="G762" s="5"/>
      <c r="H762" s="5"/>
      <c r="I762" s="5"/>
      <c r="K762" s="6"/>
    </row>
    <row r="763" ht="15.75" customHeight="1">
      <c r="G763" s="5"/>
      <c r="H763" s="5"/>
      <c r="I763" s="5"/>
      <c r="K763" s="6"/>
    </row>
    <row r="764" ht="15.75" customHeight="1">
      <c r="G764" s="5"/>
      <c r="H764" s="5"/>
      <c r="I764" s="5"/>
      <c r="K764" s="6"/>
    </row>
    <row r="765" ht="15.75" customHeight="1">
      <c r="G765" s="5"/>
      <c r="H765" s="5"/>
      <c r="I765" s="5"/>
      <c r="K765" s="6"/>
    </row>
    <row r="766" ht="15.75" customHeight="1">
      <c r="G766" s="5"/>
      <c r="H766" s="5"/>
      <c r="I766" s="5"/>
      <c r="K766" s="6"/>
    </row>
    <row r="767" ht="15.75" customHeight="1">
      <c r="G767" s="5"/>
      <c r="H767" s="5"/>
      <c r="I767" s="5"/>
      <c r="K767" s="6"/>
    </row>
    <row r="768" ht="15.75" customHeight="1">
      <c r="G768" s="5"/>
      <c r="H768" s="5"/>
      <c r="I768" s="5"/>
      <c r="K768" s="6"/>
    </row>
    <row r="769" ht="15.75" customHeight="1">
      <c r="G769" s="5"/>
      <c r="H769" s="5"/>
      <c r="I769" s="5"/>
      <c r="K769" s="6"/>
    </row>
    <row r="770" ht="15.75" customHeight="1">
      <c r="G770" s="5"/>
      <c r="H770" s="5"/>
      <c r="I770" s="5"/>
      <c r="K770" s="6"/>
    </row>
    <row r="771" ht="15.75" customHeight="1">
      <c r="G771" s="5"/>
      <c r="H771" s="5"/>
      <c r="I771" s="5"/>
      <c r="K771" s="6"/>
    </row>
    <row r="772" ht="15.75" customHeight="1">
      <c r="G772" s="5"/>
      <c r="H772" s="5"/>
      <c r="I772" s="5"/>
      <c r="K772" s="6"/>
    </row>
    <row r="773" ht="15.75" customHeight="1">
      <c r="G773" s="5"/>
      <c r="H773" s="5"/>
      <c r="I773" s="5"/>
      <c r="K773" s="6"/>
    </row>
    <row r="774" ht="15.75" customHeight="1">
      <c r="G774" s="5"/>
      <c r="H774" s="5"/>
      <c r="I774" s="5"/>
      <c r="K774" s="6"/>
    </row>
    <row r="775" ht="15.75" customHeight="1">
      <c r="G775" s="5"/>
      <c r="H775" s="5"/>
      <c r="I775" s="5"/>
      <c r="K775" s="6"/>
    </row>
    <row r="776" ht="15.75" customHeight="1">
      <c r="G776" s="5"/>
      <c r="H776" s="5"/>
      <c r="I776" s="5"/>
      <c r="K776" s="6"/>
    </row>
    <row r="777" ht="15.75" customHeight="1">
      <c r="G777" s="5"/>
      <c r="H777" s="5"/>
      <c r="I777" s="5"/>
      <c r="K777" s="6"/>
    </row>
    <row r="778" ht="15.75" customHeight="1">
      <c r="G778" s="5"/>
      <c r="H778" s="5"/>
      <c r="I778" s="5"/>
      <c r="K778" s="6"/>
    </row>
    <row r="779" ht="15.75" customHeight="1">
      <c r="G779" s="5"/>
      <c r="H779" s="5"/>
      <c r="I779" s="5"/>
      <c r="K779" s="6"/>
    </row>
    <row r="780" ht="15.75" customHeight="1">
      <c r="G780" s="5"/>
      <c r="H780" s="5"/>
      <c r="I780" s="5"/>
      <c r="K780" s="6"/>
    </row>
    <row r="781" ht="15.75" customHeight="1">
      <c r="G781" s="5"/>
      <c r="H781" s="5"/>
      <c r="I781" s="5"/>
      <c r="K781" s="6"/>
    </row>
    <row r="782" ht="15.75" customHeight="1">
      <c r="G782" s="5"/>
      <c r="H782" s="5"/>
      <c r="I782" s="5"/>
      <c r="K782" s="6"/>
    </row>
    <row r="783" ht="15.75" customHeight="1">
      <c r="G783" s="5"/>
      <c r="H783" s="5"/>
      <c r="I783" s="5"/>
      <c r="K783" s="6"/>
    </row>
    <row r="784" ht="15.75" customHeight="1">
      <c r="G784" s="5"/>
      <c r="H784" s="5"/>
      <c r="I784" s="5"/>
      <c r="K784" s="6"/>
    </row>
    <row r="785" ht="15.75" customHeight="1">
      <c r="G785" s="5"/>
      <c r="H785" s="5"/>
      <c r="I785" s="5"/>
      <c r="K785" s="6"/>
    </row>
    <row r="786" ht="15.75" customHeight="1">
      <c r="G786" s="5"/>
      <c r="H786" s="5"/>
      <c r="I786" s="5"/>
      <c r="K786" s="6"/>
    </row>
    <row r="787" ht="15.75" customHeight="1">
      <c r="G787" s="5"/>
      <c r="H787" s="5"/>
      <c r="I787" s="5"/>
      <c r="K787" s="6"/>
    </row>
    <row r="788" ht="15.75" customHeight="1">
      <c r="G788" s="5"/>
      <c r="H788" s="5"/>
      <c r="I788" s="5"/>
      <c r="K788" s="6"/>
    </row>
    <row r="789" ht="15.75" customHeight="1">
      <c r="G789" s="5"/>
      <c r="H789" s="5"/>
      <c r="I789" s="5"/>
      <c r="K789" s="6"/>
    </row>
    <row r="790" ht="15.75" customHeight="1">
      <c r="G790" s="5"/>
      <c r="H790" s="5"/>
      <c r="I790" s="5"/>
      <c r="K790" s="6"/>
    </row>
    <row r="791" ht="15.75" customHeight="1">
      <c r="G791" s="5"/>
      <c r="H791" s="5"/>
      <c r="I791" s="5"/>
      <c r="K791" s="6"/>
    </row>
    <row r="792" ht="15.75" customHeight="1">
      <c r="G792" s="5"/>
      <c r="H792" s="5"/>
      <c r="I792" s="5"/>
      <c r="K792" s="6"/>
    </row>
    <row r="793" ht="15.75" customHeight="1">
      <c r="G793" s="5"/>
      <c r="H793" s="5"/>
      <c r="I793" s="5"/>
      <c r="K793" s="6"/>
    </row>
    <row r="794" ht="15.75" customHeight="1">
      <c r="G794" s="5"/>
      <c r="H794" s="5"/>
      <c r="I794" s="5"/>
      <c r="K794" s="6"/>
    </row>
    <row r="795" ht="15.75" customHeight="1">
      <c r="G795" s="5"/>
      <c r="H795" s="5"/>
      <c r="I795" s="5"/>
      <c r="K795" s="6"/>
    </row>
    <row r="796" ht="15.75" customHeight="1">
      <c r="G796" s="5"/>
      <c r="H796" s="5"/>
      <c r="I796" s="5"/>
      <c r="K796" s="6"/>
    </row>
    <row r="797" ht="15.75" customHeight="1">
      <c r="G797" s="5"/>
      <c r="H797" s="5"/>
      <c r="I797" s="5"/>
      <c r="K797" s="6"/>
    </row>
    <row r="798" ht="15.75" customHeight="1">
      <c r="G798" s="5"/>
      <c r="H798" s="5"/>
      <c r="I798" s="5"/>
      <c r="K798" s="6"/>
    </row>
    <row r="799" ht="15.75" customHeight="1">
      <c r="G799" s="5"/>
      <c r="H799" s="5"/>
      <c r="I799" s="5"/>
      <c r="K799" s="6"/>
    </row>
    <row r="800" ht="15.75" customHeight="1">
      <c r="G800" s="5"/>
      <c r="H800" s="5"/>
      <c r="I800" s="5"/>
      <c r="K800" s="6"/>
    </row>
    <row r="801" ht="15.75" customHeight="1">
      <c r="G801" s="5"/>
      <c r="H801" s="5"/>
      <c r="I801" s="5"/>
      <c r="K801" s="6"/>
    </row>
    <row r="802" ht="15.75" customHeight="1">
      <c r="G802" s="5"/>
      <c r="H802" s="5"/>
      <c r="I802" s="5"/>
      <c r="K802" s="6"/>
    </row>
    <row r="803" ht="15.75" customHeight="1">
      <c r="G803" s="5"/>
      <c r="H803" s="5"/>
      <c r="I803" s="5"/>
      <c r="K803" s="6"/>
    </row>
    <row r="804" ht="15.75" customHeight="1">
      <c r="G804" s="5"/>
      <c r="H804" s="5"/>
      <c r="I804" s="5"/>
      <c r="K804" s="6"/>
    </row>
    <row r="805" ht="15.75" customHeight="1">
      <c r="G805" s="5"/>
      <c r="H805" s="5"/>
      <c r="I805" s="5"/>
      <c r="K805" s="6"/>
    </row>
    <row r="806" ht="15.75" customHeight="1">
      <c r="G806" s="5"/>
      <c r="H806" s="5"/>
      <c r="I806" s="5"/>
      <c r="K806" s="6"/>
    </row>
    <row r="807" ht="15.75" customHeight="1">
      <c r="G807" s="5"/>
      <c r="H807" s="5"/>
      <c r="I807" s="5"/>
      <c r="K807" s="6"/>
    </row>
    <row r="808" ht="15.75" customHeight="1">
      <c r="G808" s="5"/>
      <c r="H808" s="5"/>
      <c r="I808" s="5"/>
      <c r="K808" s="6"/>
    </row>
    <row r="809" ht="15.75" customHeight="1">
      <c r="G809" s="5"/>
      <c r="H809" s="5"/>
      <c r="I809" s="5"/>
      <c r="K809" s="6"/>
    </row>
    <row r="810" ht="15.75" customHeight="1">
      <c r="G810" s="5"/>
      <c r="H810" s="5"/>
      <c r="I810" s="5"/>
      <c r="K810" s="6"/>
    </row>
    <row r="811" ht="15.75" customHeight="1">
      <c r="G811" s="5"/>
      <c r="H811" s="5"/>
      <c r="I811" s="5"/>
      <c r="K811" s="6"/>
    </row>
    <row r="812" ht="15.75" customHeight="1">
      <c r="G812" s="5"/>
      <c r="H812" s="5"/>
      <c r="I812" s="5"/>
      <c r="K812" s="6"/>
    </row>
    <row r="813" ht="15.75" customHeight="1">
      <c r="G813" s="5"/>
      <c r="H813" s="5"/>
      <c r="I813" s="5"/>
      <c r="K813" s="6"/>
    </row>
    <row r="814" ht="15.75" customHeight="1">
      <c r="G814" s="5"/>
      <c r="H814" s="5"/>
      <c r="I814" s="5"/>
      <c r="K814" s="6"/>
    </row>
    <row r="815" ht="15.75" customHeight="1">
      <c r="G815" s="5"/>
      <c r="H815" s="5"/>
      <c r="I815" s="5"/>
      <c r="K815" s="6"/>
    </row>
    <row r="816" ht="15.75" customHeight="1">
      <c r="G816" s="5"/>
      <c r="H816" s="5"/>
      <c r="I816" s="5"/>
      <c r="K816" s="6"/>
    </row>
    <row r="817" ht="15.75" customHeight="1">
      <c r="G817" s="5"/>
      <c r="H817" s="5"/>
      <c r="I817" s="5"/>
      <c r="K817" s="6"/>
    </row>
    <row r="818" ht="15.75" customHeight="1">
      <c r="G818" s="5"/>
      <c r="H818" s="5"/>
      <c r="I818" s="5"/>
      <c r="K818" s="6"/>
    </row>
    <row r="819" ht="15.75" customHeight="1">
      <c r="G819" s="5"/>
      <c r="H819" s="5"/>
      <c r="I819" s="5"/>
      <c r="K819" s="6"/>
    </row>
    <row r="820" ht="15.75" customHeight="1">
      <c r="G820" s="5"/>
      <c r="H820" s="5"/>
      <c r="I820" s="5"/>
      <c r="K820" s="6"/>
    </row>
    <row r="821" ht="15.75" customHeight="1">
      <c r="G821" s="5"/>
      <c r="H821" s="5"/>
      <c r="I821" s="5"/>
      <c r="K821" s="6"/>
    </row>
    <row r="822" ht="15.75" customHeight="1">
      <c r="G822" s="5"/>
      <c r="H822" s="5"/>
      <c r="I822" s="5"/>
      <c r="K822" s="6"/>
    </row>
    <row r="823" ht="15.75" customHeight="1">
      <c r="G823" s="5"/>
      <c r="H823" s="5"/>
      <c r="I823" s="5"/>
      <c r="K823" s="6"/>
    </row>
    <row r="824" ht="15.75" customHeight="1">
      <c r="G824" s="5"/>
      <c r="H824" s="5"/>
      <c r="I824" s="5"/>
      <c r="K824" s="6"/>
    </row>
    <row r="825" ht="15.75" customHeight="1">
      <c r="G825" s="5"/>
      <c r="H825" s="5"/>
      <c r="I825" s="5"/>
      <c r="K825" s="6"/>
    </row>
    <row r="826" ht="15.75" customHeight="1">
      <c r="G826" s="5"/>
      <c r="H826" s="5"/>
      <c r="I826" s="5"/>
      <c r="K826" s="6"/>
    </row>
    <row r="827" ht="15.75" customHeight="1">
      <c r="G827" s="5"/>
      <c r="H827" s="5"/>
      <c r="I827" s="5"/>
      <c r="K827" s="6"/>
    </row>
    <row r="828" ht="15.75" customHeight="1">
      <c r="G828" s="5"/>
      <c r="H828" s="5"/>
      <c r="I828" s="5"/>
      <c r="K828" s="6"/>
    </row>
    <row r="829" ht="15.75" customHeight="1">
      <c r="G829" s="5"/>
      <c r="H829" s="5"/>
      <c r="I829" s="5"/>
      <c r="K829" s="6"/>
    </row>
    <row r="830" ht="15.75" customHeight="1">
      <c r="G830" s="5"/>
      <c r="H830" s="5"/>
      <c r="I830" s="5"/>
      <c r="K830" s="6"/>
    </row>
    <row r="831" ht="15.75" customHeight="1">
      <c r="G831" s="5"/>
      <c r="H831" s="5"/>
      <c r="I831" s="5"/>
      <c r="K831" s="6"/>
    </row>
    <row r="832" ht="15.75" customHeight="1">
      <c r="G832" s="5"/>
      <c r="H832" s="5"/>
      <c r="I832" s="5"/>
      <c r="K832" s="6"/>
    </row>
    <row r="833" ht="15.75" customHeight="1">
      <c r="G833" s="5"/>
      <c r="H833" s="5"/>
      <c r="I833" s="5"/>
      <c r="K833" s="6"/>
    </row>
    <row r="834" ht="15.75" customHeight="1">
      <c r="G834" s="5"/>
      <c r="H834" s="5"/>
      <c r="I834" s="5"/>
      <c r="K834" s="6"/>
    </row>
    <row r="835" ht="15.75" customHeight="1">
      <c r="G835" s="5"/>
      <c r="H835" s="5"/>
      <c r="I835" s="5"/>
      <c r="K835" s="6"/>
    </row>
    <row r="836" ht="15.75" customHeight="1">
      <c r="G836" s="5"/>
      <c r="H836" s="5"/>
      <c r="I836" s="5"/>
      <c r="K836" s="6"/>
    </row>
    <row r="837" ht="15.75" customHeight="1">
      <c r="G837" s="5"/>
      <c r="H837" s="5"/>
      <c r="I837" s="5"/>
      <c r="K837" s="6"/>
    </row>
    <row r="838" ht="15.75" customHeight="1">
      <c r="G838" s="5"/>
      <c r="H838" s="5"/>
      <c r="I838" s="5"/>
      <c r="K838" s="6"/>
    </row>
    <row r="839" ht="15.75" customHeight="1">
      <c r="G839" s="5"/>
      <c r="H839" s="5"/>
      <c r="I839" s="5"/>
      <c r="K839" s="6"/>
    </row>
    <row r="840" ht="15.75" customHeight="1">
      <c r="G840" s="5"/>
      <c r="H840" s="5"/>
      <c r="I840" s="5"/>
      <c r="K840" s="6"/>
    </row>
    <row r="841" ht="15.75" customHeight="1">
      <c r="G841" s="5"/>
      <c r="H841" s="5"/>
      <c r="I841" s="5"/>
      <c r="K841" s="6"/>
    </row>
    <row r="842" ht="15.75" customHeight="1">
      <c r="G842" s="5"/>
      <c r="H842" s="5"/>
      <c r="I842" s="5"/>
      <c r="K842" s="6"/>
    </row>
    <row r="843" ht="15.75" customHeight="1">
      <c r="G843" s="5"/>
      <c r="H843" s="5"/>
      <c r="I843" s="5"/>
      <c r="K843" s="6"/>
    </row>
    <row r="844" ht="15.75" customHeight="1">
      <c r="G844" s="5"/>
      <c r="H844" s="5"/>
      <c r="I844" s="5"/>
      <c r="K844" s="6"/>
    </row>
    <row r="845" ht="15.75" customHeight="1">
      <c r="G845" s="5"/>
      <c r="H845" s="5"/>
      <c r="I845" s="5"/>
      <c r="K845" s="6"/>
    </row>
    <row r="846" ht="15.75" customHeight="1">
      <c r="G846" s="5"/>
      <c r="H846" s="5"/>
      <c r="I846" s="5"/>
      <c r="K846" s="6"/>
    </row>
    <row r="847" ht="15.75" customHeight="1">
      <c r="G847" s="5"/>
      <c r="H847" s="5"/>
      <c r="I847" s="5"/>
      <c r="K847" s="6"/>
    </row>
    <row r="848" ht="15.75" customHeight="1">
      <c r="G848" s="5"/>
      <c r="H848" s="5"/>
      <c r="I848" s="5"/>
      <c r="K848" s="6"/>
    </row>
    <row r="849" ht="15.75" customHeight="1">
      <c r="G849" s="5"/>
      <c r="H849" s="5"/>
      <c r="I849" s="5"/>
      <c r="K849" s="6"/>
    </row>
    <row r="850" ht="15.75" customHeight="1">
      <c r="G850" s="5"/>
      <c r="H850" s="5"/>
      <c r="I850" s="5"/>
      <c r="K850" s="6"/>
    </row>
    <row r="851" ht="15.75" customHeight="1">
      <c r="G851" s="5"/>
      <c r="H851" s="5"/>
      <c r="I851" s="5"/>
      <c r="K851" s="6"/>
    </row>
    <row r="852" ht="15.75" customHeight="1">
      <c r="G852" s="5"/>
      <c r="H852" s="5"/>
      <c r="I852" s="5"/>
      <c r="K852" s="6"/>
    </row>
    <row r="853" ht="15.75" customHeight="1">
      <c r="G853" s="5"/>
      <c r="H853" s="5"/>
      <c r="I853" s="5"/>
      <c r="K853" s="6"/>
    </row>
    <row r="854" ht="15.75" customHeight="1">
      <c r="G854" s="5"/>
      <c r="H854" s="5"/>
      <c r="I854" s="5"/>
      <c r="K854" s="6"/>
    </row>
    <row r="855" ht="15.75" customHeight="1">
      <c r="G855" s="5"/>
      <c r="H855" s="5"/>
      <c r="I855" s="5"/>
      <c r="K855" s="6"/>
    </row>
    <row r="856" ht="15.75" customHeight="1">
      <c r="G856" s="5"/>
      <c r="H856" s="5"/>
      <c r="I856" s="5"/>
      <c r="K856" s="6"/>
    </row>
    <row r="857" ht="15.75" customHeight="1">
      <c r="G857" s="5"/>
      <c r="H857" s="5"/>
      <c r="I857" s="5"/>
      <c r="K857" s="6"/>
    </row>
    <row r="858" ht="15.75" customHeight="1">
      <c r="G858" s="5"/>
      <c r="H858" s="5"/>
      <c r="I858" s="5"/>
      <c r="K858" s="6"/>
    </row>
    <row r="859" ht="15.75" customHeight="1">
      <c r="G859" s="5"/>
      <c r="H859" s="5"/>
      <c r="I859" s="5"/>
      <c r="K859" s="6"/>
    </row>
    <row r="860" ht="15.75" customHeight="1">
      <c r="G860" s="5"/>
      <c r="H860" s="5"/>
      <c r="I860" s="5"/>
      <c r="K860" s="6"/>
    </row>
    <row r="861" ht="15.75" customHeight="1">
      <c r="G861" s="5"/>
      <c r="H861" s="5"/>
      <c r="I861" s="5"/>
      <c r="K861" s="6"/>
    </row>
    <row r="862" ht="15.75" customHeight="1">
      <c r="G862" s="5"/>
      <c r="H862" s="5"/>
      <c r="I862" s="5"/>
      <c r="K862" s="6"/>
    </row>
    <row r="863" ht="15.75" customHeight="1">
      <c r="G863" s="5"/>
      <c r="H863" s="5"/>
      <c r="I863" s="5"/>
      <c r="K863" s="6"/>
    </row>
    <row r="864" ht="15.75" customHeight="1">
      <c r="G864" s="5"/>
      <c r="H864" s="5"/>
      <c r="I864" s="5"/>
      <c r="K864" s="6"/>
    </row>
    <row r="865" ht="15.75" customHeight="1">
      <c r="G865" s="5"/>
      <c r="H865" s="5"/>
      <c r="I865" s="5"/>
      <c r="K865" s="6"/>
    </row>
    <row r="866" ht="15.75" customHeight="1">
      <c r="G866" s="5"/>
      <c r="H866" s="5"/>
      <c r="I866" s="5"/>
      <c r="K866" s="6"/>
    </row>
    <row r="867" ht="15.75" customHeight="1">
      <c r="G867" s="5"/>
      <c r="H867" s="5"/>
      <c r="I867" s="5"/>
      <c r="K867" s="6"/>
    </row>
    <row r="868" ht="15.75" customHeight="1">
      <c r="G868" s="5"/>
      <c r="H868" s="5"/>
      <c r="I868" s="5"/>
      <c r="K868" s="6"/>
    </row>
    <row r="869" ht="15.75" customHeight="1">
      <c r="G869" s="5"/>
      <c r="H869" s="5"/>
      <c r="I869" s="5"/>
      <c r="K869" s="6"/>
    </row>
    <row r="870" ht="15.75" customHeight="1">
      <c r="G870" s="5"/>
      <c r="H870" s="5"/>
      <c r="I870" s="5"/>
      <c r="K870" s="6"/>
    </row>
    <row r="871" ht="15.75" customHeight="1">
      <c r="G871" s="5"/>
      <c r="H871" s="5"/>
      <c r="I871" s="5"/>
      <c r="K871" s="6"/>
    </row>
    <row r="872" ht="15.75" customHeight="1">
      <c r="G872" s="5"/>
      <c r="H872" s="5"/>
      <c r="I872" s="5"/>
      <c r="K872" s="6"/>
    </row>
    <row r="873" ht="15.75" customHeight="1">
      <c r="G873" s="5"/>
      <c r="H873" s="5"/>
      <c r="I873" s="5"/>
      <c r="K873" s="6"/>
    </row>
    <row r="874" ht="15.75" customHeight="1">
      <c r="G874" s="5"/>
      <c r="H874" s="5"/>
      <c r="I874" s="5"/>
      <c r="K874" s="6"/>
    </row>
    <row r="875" ht="15.75" customHeight="1">
      <c r="G875" s="5"/>
      <c r="H875" s="5"/>
      <c r="I875" s="5"/>
      <c r="K875" s="6"/>
    </row>
    <row r="876" ht="15.75" customHeight="1">
      <c r="G876" s="5"/>
      <c r="H876" s="5"/>
      <c r="I876" s="5"/>
      <c r="K876" s="6"/>
    </row>
    <row r="877" ht="15.75" customHeight="1">
      <c r="G877" s="5"/>
      <c r="H877" s="5"/>
      <c r="I877" s="5"/>
      <c r="K877" s="6"/>
    </row>
    <row r="878" ht="15.75" customHeight="1">
      <c r="G878" s="5"/>
      <c r="H878" s="5"/>
      <c r="I878" s="5"/>
      <c r="K878" s="6"/>
    </row>
    <row r="879" ht="15.75" customHeight="1">
      <c r="G879" s="5"/>
      <c r="H879" s="5"/>
      <c r="I879" s="5"/>
      <c r="K879" s="6"/>
    </row>
    <row r="880" ht="15.75" customHeight="1">
      <c r="G880" s="5"/>
      <c r="H880" s="5"/>
      <c r="I880" s="5"/>
      <c r="K880" s="6"/>
    </row>
    <row r="881" ht="15.75" customHeight="1">
      <c r="G881" s="5"/>
      <c r="H881" s="5"/>
      <c r="I881" s="5"/>
      <c r="K881" s="6"/>
    </row>
    <row r="882" ht="15.75" customHeight="1">
      <c r="G882" s="5"/>
      <c r="H882" s="5"/>
      <c r="I882" s="5"/>
      <c r="K882" s="6"/>
    </row>
    <row r="883" ht="15.75" customHeight="1">
      <c r="G883" s="5"/>
      <c r="H883" s="5"/>
      <c r="I883" s="5"/>
      <c r="K883" s="6"/>
    </row>
    <row r="884" ht="15.75" customHeight="1">
      <c r="G884" s="5"/>
      <c r="H884" s="5"/>
      <c r="I884" s="5"/>
      <c r="K884" s="6"/>
    </row>
    <row r="885" ht="15.75" customHeight="1">
      <c r="G885" s="5"/>
      <c r="H885" s="5"/>
      <c r="I885" s="5"/>
      <c r="K885" s="6"/>
    </row>
    <row r="886" ht="15.75" customHeight="1">
      <c r="G886" s="5"/>
      <c r="H886" s="5"/>
      <c r="I886" s="5"/>
      <c r="K886" s="6"/>
    </row>
    <row r="887" ht="15.75" customHeight="1">
      <c r="G887" s="5"/>
      <c r="H887" s="5"/>
      <c r="I887" s="5"/>
      <c r="K887" s="6"/>
    </row>
    <row r="888" ht="15.75" customHeight="1">
      <c r="G888" s="5"/>
      <c r="H888" s="5"/>
      <c r="I888" s="5"/>
      <c r="K888" s="6"/>
    </row>
    <row r="889" ht="15.75" customHeight="1">
      <c r="G889" s="5"/>
      <c r="H889" s="5"/>
      <c r="I889" s="5"/>
      <c r="K889" s="6"/>
    </row>
    <row r="890" ht="15.75" customHeight="1">
      <c r="G890" s="5"/>
      <c r="H890" s="5"/>
      <c r="I890" s="5"/>
      <c r="K890" s="6"/>
    </row>
    <row r="891" ht="15.75" customHeight="1">
      <c r="G891" s="5"/>
      <c r="H891" s="5"/>
      <c r="I891" s="5"/>
      <c r="K891" s="6"/>
    </row>
    <row r="892" ht="15.75" customHeight="1">
      <c r="G892" s="5"/>
      <c r="H892" s="5"/>
      <c r="I892" s="5"/>
      <c r="K892" s="6"/>
    </row>
    <row r="893" ht="15.75" customHeight="1">
      <c r="G893" s="5"/>
      <c r="H893" s="5"/>
      <c r="I893" s="5"/>
      <c r="K893" s="6"/>
    </row>
    <row r="894" ht="15.75" customHeight="1">
      <c r="G894" s="5"/>
      <c r="H894" s="5"/>
      <c r="I894" s="5"/>
      <c r="K894" s="6"/>
    </row>
    <row r="895" ht="15.75" customHeight="1">
      <c r="G895" s="5"/>
      <c r="H895" s="5"/>
      <c r="I895" s="5"/>
      <c r="K895" s="6"/>
    </row>
    <row r="896" ht="15.75" customHeight="1">
      <c r="G896" s="5"/>
      <c r="H896" s="5"/>
      <c r="I896" s="5"/>
      <c r="K896" s="6"/>
    </row>
    <row r="897" ht="15.75" customHeight="1">
      <c r="G897" s="5"/>
      <c r="H897" s="5"/>
      <c r="I897" s="5"/>
      <c r="K897" s="6"/>
    </row>
    <row r="898" ht="15.75" customHeight="1">
      <c r="G898" s="5"/>
      <c r="H898" s="5"/>
      <c r="I898" s="5"/>
      <c r="K898" s="6"/>
    </row>
    <row r="899" ht="15.75" customHeight="1">
      <c r="G899" s="5"/>
      <c r="H899" s="5"/>
      <c r="I899" s="5"/>
      <c r="K899" s="6"/>
    </row>
    <row r="900" ht="15.75" customHeight="1">
      <c r="G900" s="5"/>
      <c r="H900" s="5"/>
      <c r="I900" s="5"/>
      <c r="K900" s="6"/>
    </row>
    <row r="901" ht="15.75" customHeight="1">
      <c r="G901" s="5"/>
      <c r="H901" s="5"/>
      <c r="I901" s="5"/>
      <c r="K901" s="6"/>
    </row>
    <row r="902" ht="15.75" customHeight="1">
      <c r="G902" s="5"/>
      <c r="H902" s="5"/>
      <c r="I902" s="5"/>
      <c r="K902" s="6"/>
    </row>
    <row r="903" ht="15.75" customHeight="1">
      <c r="G903" s="5"/>
      <c r="H903" s="5"/>
      <c r="I903" s="5"/>
      <c r="K903" s="6"/>
    </row>
    <row r="904" ht="15.75" customHeight="1">
      <c r="G904" s="5"/>
      <c r="H904" s="5"/>
      <c r="I904" s="5"/>
      <c r="K904" s="6"/>
    </row>
    <row r="905" ht="15.75" customHeight="1">
      <c r="G905" s="5"/>
      <c r="H905" s="5"/>
      <c r="I905" s="5"/>
      <c r="K905" s="6"/>
    </row>
    <row r="906" ht="15.75" customHeight="1">
      <c r="G906" s="5"/>
      <c r="H906" s="5"/>
      <c r="I906" s="5"/>
      <c r="K906" s="6"/>
    </row>
    <row r="907" ht="15.75" customHeight="1">
      <c r="G907" s="5"/>
      <c r="H907" s="5"/>
      <c r="I907" s="5"/>
      <c r="K907" s="6"/>
    </row>
    <row r="908" ht="15.75" customHeight="1">
      <c r="G908" s="5"/>
      <c r="H908" s="5"/>
      <c r="I908" s="5"/>
      <c r="K908" s="6"/>
    </row>
    <row r="909" ht="15.75" customHeight="1">
      <c r="G909" s="5"/>
      <c r="H909" s="5"/>
      <c r="I909" s="5"/>
      <c r="K909" s="6"/>
    </row>
    <row r="910" ht="15.75" customHeight="1">
      <c r="G910" s="5"/>
      <c r="H910" s="5"/>
      <c r="I910" s="5"/>
      <c r="K910" s="6"/>
    </row>
    <row r="911" ht="15.75" customHeight="1">
      <c r="G911" s="5"/>
      <c r="H911" s="5"/>
      <c r="I911" s="5"/>
      <c r="K911" s="6"/>
    </row>
    <row r="912" ht="15.75" customHeight="1">
      <c r="G912" s="5"/>
      <c r="H912" s="5"/>
      <c r="I912" s="5"/>
      <c r="K912" s="6"/>
    </row>
    <row r="913" ht="15.75" customHeight="1">
      <c r="G913" s="5"/>
      <c r="H913" s="5"/>
      <c r="I913" s="5"/>
      <c r="K913" s="6"/>
    </row>
    <row r="914" ht="15.75" customHeight="1">
      <c r="G914" s="5"/>
      <c r="H914" s="5"/>
      <c r="I914" s="5"/>
      <c r="K914" s="6"/>
    </row>
    <row r="915" ht="15.75" customHeight="1">
      <c r="G915" s="5"/>
      <c r="H915" s="5"/>
      <c r="I915" s="5"/>
      <c r="K915" s="6"/>
    </row>
    <row r="916" ht="15.75" customHeight="1">
      <c r="G916" s="5"/>
      <c r="H916" s="5"/>
      <c r="I916" s="5"/>
      <c r="K916" s="6"/>
    </row>
    <row r="917" ht="15.75" customHeight="1">
      <c r="G917" s="5"/>
      <c r="H917" s="5"/>
      <c r="I917" s="5"/>
      <c r="K917" s="6"/>
    </row>
    <row r="918" ht="15.75" customHeight="1">
      <c r="G918" s="5"/>
      <c r="H918" s="5"/>
      <c r="I918" s="5"/>
      <c r="K918" s="6"/>
    </row>
    <row r="919" ht="15.75" customHeight="1">
      <c r="G919" s="5"/>
      <c r="H919" s="5"/>
      <c r="I919" s="5"/>
      <c r="K919" s="6"/>
    </row>
    <row r="920" ht="15.75" customHeight="1">
      <c r="G920" s="5"/>
      <c r="H920" s="5"/>
      <c r="I920" s="5"/>
      <c r="K920" s="6"/>
    </row>
    <row r="921" ht="15.75" customHeight="1">
      <c r="G921" s="5"/>
      <c r="H921" s="5"/>
      <c r="I921" s="5"/>
      <c r="K921" s="6"/>
    </row>
    <row r="922" ht="15.75" customHeight="1">
      <c r="G922" s="5"/>
      <c r="H922" s="5"/>
      <c r="I922" s="5"/>
      <c r="K922" s="6"/>
    </row>
    <row r="923" ht="15.75" customHeight="1">
      <c r="G923" s="5"/>
      <c r="H923" s="5"/>
      <c r="I923" s="5"/>
      <c r="K923" s="6"/>
    </row>
    <row r="924" ht="15.75" customHeight="1">
      <c r="G924" s="5"/>
      <c r="H924" s="5"/>
      <c r="I924" s="5"/>
      <c r="K924" s="6"/>
    </row>
    <row r="925" ht="15.75" customHeight="1">
      <c r="G925" s="5"/>
      <c r="H925" s="5"/>
      <c r="I925" s="5"/>
      <c r="K925" s="6"/>
    </row>
    <row r="926" ht="15.75" customHeight="1">
      <c r="G926" s="5"/>
      <c r="H926" s="5"/>
      <c r="I926" s="5"/>
      <c r="K926" s="6"/>
    </row>
    <row r="927" ht="15.75" customHeight="1">
      <c r="G927" s="5"/>
      <c r="H927" s="5"/>
      <c r="I927" s="5"/>
      <c r="K927" s="6"/>
    </row>
    <row r="928" ht="15.75" customHeight="1">
      <c r="G928" s="5"/>
      <c r="H928" s="5"/>
      <c r="I928" s="5"/>
      <c r="K928" s="6"/>
    </row>
    <row r="929" ht="15.75" customHeight="1">
      <c r="G929" s="5"/>
      <c r="H929" s="5"/>
      <c r="I929" s="5"/>
      <c r="K929" s="6"/>
    </row>
    <row r="930" ht="15.75" customHeight="1">
      <c r="G930" s="5"/>
      <c r="H930" s="5"/>
      <c r="I930" s="5"/>
      <c r="K930" s="6"/>
    </row>
    <row r="931" ht="15.75" customHeight="1">
      <c r="G931" s="5"/>
      <c r="H931" s="5"/>
      <c r="I931" s="5"/>
      <c r="K931" s="6"/>
    </row>
    <row r="932" ht="15.75" customHeight="1">
      <c r="G932" s="5"/>
      <c r="H932" s="5"/>
      <c r="I932" s="5"/>
      <c r="K932" s="6"/>
    </row>
    <row r="933" ht="15.75" customHeight="1">
      <c r="G933" s="5"/>
      <c r="H933" s="5"/>
      <c r="I933" s="5"/>
      <c r="K933" s="6"/>
    </row>
    <row r="934" ht="15.75" customHeight="1">
      <c r="G934" s="5"/>
      <c r="H934" s="5"/>
      <c r="I934" s="5"/>
      <c r="K934" s="6"/>
    </row>
    <row r="935" ht="15.75" customHeight="1">
      <c r="G935" s="5"/>
      <c r="H935" s="5"/>
      <c r="I935" s="5"/>
      <c r="K935" s="6"/>
    </row>
    <row r="936" ht="15.75" customHeight="1">
      <c r="G936" s="5"/>
      <c r="H936" s="5"/>
      <c r="I936" s="5"/>
      <c r="K936" s="6"/>
    </row>
    <row r="937" ht="15.75" customHeight="1">
      <c r="G937" s="5"/>
      <c r="H937" s="5"/>
      <c r="I937" s="5"/>
      <c r="K937" s="6"/>
    </row>
    <row r="938" ht="15.75" customHeight="1">
      <c r="G938" s="5"/>
      <c r="H938" s="5"/>
      <c r="I938" s="5"/>
      <c r="K938" s="6"/>
    </row>
    <row r="939" ht="15.75" customHeight="1">
      <c r="G939" s="5"/>
      <c r="H939" s="5"/>
      <c r="I939" s="5"/>
      <c r="K939" s="6"/>
    </row>
    <row r="940" ht="15.75" customHeight="1">
      <c r="G940" s="5"/>
      <c r="H940" s="5"/>
      <c r="I940" s="5"/>
      <c r="K940" s="6"/>
    </row>
    <row r="941" ht="15.75" customHeight="1">
      <c r="G941" s="5"/>
      <c r="H941" s="5"/>
      <c r="I941" s="5"/>
      <c r="K941" s="6"/>
    </row>
    <row r="942" ht="15.75" customHeight="1">
      <c r="G942" s="5"/>
      <c r="H942" s="5"/>
      <c r="I942" s="5"/>
      <c r="K942" s="6"/>
    </row>
    <row r="943" ht="15.75" customHeight="1">
      <c r="G943" s="5"/>
      <c r="H943" s="5"/>
      <c r="I943" s="5"/>
      <c r="K943" s="6"/>
    </row>
    <row r="944" ht="15.75" customHeight="1">
      <c r="G944" s="5"/>
      <c r="H944" s="5"/>
      <c r="I944" s="5"/>
      <c r="K944" s="6"/>
    </row>
    <row r="945" ht="15.75" customHeight="1">
      <c r="G945" s="5"/>
      <c r="H945" s="5"/>
      <c r="I945" s="5"/>
      <c r="K945" s="6"/>
    </row>
    <row r="946" ht="15.75" customHeight="1">
      <c r="G946" s="5"/>
      <c r="H946" s="5"/>
      <c r="I946" s="5"/>
      <c r="K946" s="6"/>
    </row>
    <row r="947" ht="15.75" customHeight="1">
      <c r="G947" s="5"/>
      <c r="H947" s="5"/>
      <c r="I947" s="5"/>
      <c r="K947" s="6"/>
    </row>
    <row r="948" ht="15.75" customHeight="1">
      <c r="G948" s="5"/>
      <c r="H948" s="5"/>
      <c r="I948" s="5"/>
      <c r="K948" s="6"/>
    </row>
    <row r="949" ht="15.75" customHeight="1">
      <c r="G949" s="5"/>
      <c r="H949" s="5"/>
      <c r="I949" s="5"/>
      <c r="K949" s="6"/>
    </row>
    <row r="950" ht="15.75" customHeight="1">
      <c r="G950" s="5"/>
      <c r="H950" s="5"/>
      <c r="I950" s="5"/>
      <c r="K950" s="6"/>
    </row>
    <row r="951" ht="15.75" customHeight="1">
      <c r="G951" s="5"/>
      <c r="H951" s="5"/>
      <c r="I951" s="5"/>
      <c r="K951" s="6"/>
    </row>
    <row r="952" ht="15.75" customHeight="1">
      <c r="G952" s="5"/>
      <c r="H952" s="5"/>
      <c r="I952" s="5"/>
      <c r="K952" s="6"/>
    </row>
    <row r="953" ht="15.75" customHeight="1">
      <c r="G953" s="5"/>
      <c r="H953" s="5"/>
      <c r="I953" s="5"/>
      <c r="K953" s="6"/>
    </row>
    <row r="954" ht="15.75" customHeight="1">
      <c r="G954" s="5"/>
      <c r="H954" s="5"/>
      <c r="I954" s="5"/>
      <c r="K954" s="6"/>
    </row>
    <row r="955" ht="15.75" customHeight="1">
      <c r="G955" s="5"/>
      <c r="H955" s="5"/>
      <c r="I955" s="5"/>
      <c r="K955" s="6"/>
    </row>
    <row r="956" ht="15.75" customHeight="1">
      <c r="G956" s="5"/>
      <c r="H956" s="5"/>
      <c r="I956" s="5"/>
      <c r="K956" s="6"/>
    </row>
    <row r="957" ht="15.75" customHeight="1">
      <c r="G957" s="5"/>
      <c r="H957" s="5"/>
      <c r="I957" s="5"/>
      <c r="K957" s="6"/>
    </row>
    <row r="958" ht="15.75" customHeight="1">
      <c r="G958" s="5"/>
      <c r="H958" s="5"/>
      <c r="I958" s="5"/>
      <c r="K958" s="6"/>
    </row>
    <row r="959" ht="15.75" customHeight="1">
      <c r="G959" s="5"/>
      <c r="H959" s="5"/>
      <c r="I959" s="5"/>
      <c r="K959" s="6"/>
    </row>
    <row r="960" ht="15.75" customHeight="1">
      <c r="G960" s="5"/>
      <c r="H960" s="5"/>
      <c r="I960" s="5"/>
      <c r="K960" s="6"/>
    </row>
    <row r="961" ht="15.75" customHeight="1">
      <c r="G961" s="5"/>
      <c r="H961" s="5"/>
      <c r="I961" s="5"/>
      <c r="K961" s="6"/>
    </row>
    <row r="962" ht="15.75" customHeight="1">
      <c r="G962" s="5"/>
      <c r="H962" s="5"/>
      <c r="I962" s="5"/>
      <c r="K962" s="6"/>
    </row>
    <row r="963" ht="15.75" customHeight="1">
      <c r="G963" s="5"/>
      <c r="H963" s="5"/>
      <c r="I963" s="5"/>
      <c r="K963" s="6"/>
    </row>
    <row r="964" ht="15.75" customHeight="1">
      <c r="G964" s="5"/>
      <c r="H964" s="5"/>
      <c r="I964" s="5"/>
      <c r="K964" s="6"/>
    </row>
    <row r="965" ht="15.75" customHeight="1">
      <c r="G965" s="5"/>
      <c r="H965" s="5"/>
      <c r="I965" s="5"/>
      <c r="K965" s="6"/>
    </row>
    <row r="966" ht="15.75" customHeight="1">
      <c r="G966" s="5"/>
      <c r="H966" s="5"/>
      <c r="I966" s="5"/>
      <c r="K966" s="6"/>
    </row>
    <row r="967" ht="15.75" customHeight="1">
      <c r="G967" s="5"/>
      <c r="H967" s="5"/>
      <c r="I967" s="5"/>
      <c r="K967" s="6"/>
    </row>
    <row r="968" ht="15.75" customHeight="1">
      <c r="G968" s="5"/>
      <c r="H968" s="5"/>
      <c r="I968" s="5"/>
      <c r="K968" s="6"/>
    </row>
    <row r="969" ht="15.75" customHeight="1">
      <c r="G969" s="5"/>
      <c r="H969" s="5"/>
      <c r="I969" s="5"/>
      <c r="K969" s="6"/>
    </row>
    <row r="970" ht="15.75" customHeight="1">
      <c r="G970" s="5"/>
      <c r="H970" s="5"/>
      <c r="I970" s="5"/>
      <c r="K970" s="6"/>
    </row>
    <row r="971" ht="15.75" customHeight="1">
      <c r="G971" s="5"/>
      <c r="H971" s="5"/>
      <c r="I971" s="5"/>
      <c r="K971" s="6"/>
    </row>
    <row r="972" ht="15.75" customHeight="1">
      <c r="G972" s="5"/>
      <c r="H972" s="5"/>
      <c r="I972" s="5"/>
      <c r="K972" s="6"/>
    </row>
    <row r="973" ht="15.75" customHeight="1">
      <c r="G973" s="5"/>
      <c r="H973" s="5"/>
      <c r="I973" s="5"/>
      <c r="K973" s="6"/>
    </row>
    <row r="974" ht="15.75" customHeight="1">
      <c r="G974" s="5"/>
      <c r="H974" s="5"/>
      <c r="I974" s="5"/>
      <c r="K974" s="6"/>
    </row>
    <row r="975" ht="15.75" customHeight="1">
      <c r="G975" s="5"/>
      <c r="H975" s="5"/>
      <c r="I975" s="5"/>
      <c r="K975" s="6"/>
    </row>
    <row r="976" ht="15.75" customHeight="1">
      <c r="G976" s="5"/>
      <c r="H976" s="5"/>
      <c r="I976" s="5"/>
      <c r="K976" s="6"/>
    </row>
    <row r="977" ht="15.75" customHeight="1">
      <c r="G977" s="5"/>
      <c r="H977" s="5"/>
      <c r="I977" s="5"/>
      <c r="K977" s="6"/>
    </row>
    <row r="978" ht="15.75" customHeight="1">
      <c r="G978" s="5"/>
      <c r="H978" s="5"/>
      <c r="I978" s="5"/>
      <c r="K978" s="6"/>
    </row>
    <row r="979" ht="15.75" customHeight="1">
      <c r="G979" s="5"/>
      <c r="H979" s="5"/>
      <c r="I979" s="5"/>
      <c r="K979" s="6"/>
    </row>
    <row r="980" ht="15.75" customHeight="1">
      <c r="G980" s="5"/>
      <c r="H980" s="5"/>
      <c r="I980" s="5"/>
      <c r="K980" s="6"/>
    </row>
    <row r="981" ht="15.75" customHeight="1">
      <c r="G981" s="5"/>
      <c r="H981" s="5"/>
      <c r="I981" s="5"/>
      <c r="K981" s="6"/>
    </row>
    <row r="982" ht="15.75" customHeight="1">
      <c r="G982" s="5"/>
      <c r="H982" s="5"/>
      <c r="I982" s="5"/>
      <c r="K982" s="6"/>
    </row>
    <row r="983" ht="15.75" customHeight="1">
      <c r="G983" s="5"/>
      <c r="H983" s="5"/>
      <c r="I983" s="5"/>
      <c r="K983" s="6"/>
    </row>
    <row r="984" ht="15.75" customHeight="1">
      <c r="G984" s="5"/>
      <c r="H984" s="5"/>
      <c r="I984" s="5"/>
      <c r="K984" s="6"/>
    </row>
    <row r="985" ht="15.75" customHeight="1">
      <c r="G985" s="5"/>
      <c r="H985" s="5"/>
      <c r="I985" s="5"/>
      <c r="K985" s="6"/>
    </row>
    <row r="986" ht="15.75" customHeight="1">
      <c r="G986" s="5"/>
      <c r="H986" s="5"/>
      <c r="I986" s="5"/>
      <c r="K986" s="6"/>
    </row>
    <row r="987" ht="15.75" customHeight="1">
      <c r="G987" s="5"/>
      <c r="H987" s="5"/>
      <c r="I987" s="5"/>
      <c r="K987" s="6"/>
    </row>
    <row r="988" ht="15.75" customHeight="1">
      <c r="G988" s="5"/>
      <c r="H988" s="5"/>
      <c r="I988" s="5"/>
      <c r="K988" s="6"/>
    </row>
    <row r="989" ht="15.75" customHeight="1">
      <c r="G989" s="5"/>
      <c r="H989" s="5"/>
      <c r="I989" s="5"/>
      <c r="K989" s="6"/>
    </row>
    <row r="990" ht="15.75" customHeight="1">
      <c r="G990" s="5"/>
      <c r="H990" s="5"/>
      <c r="I990" s="5"/>
      <c r="K990" s="6"/>
    </row>
    <row r="991" ht="15.75" customHeight="1">
      <c r="G991" s="5"/>
      <c r="H991" s="5"/>
      <c r="I991" s="5"/>
      <c r="K991" s="6"/>
    </row>
    <row r="992" ht="15.75" customHeight="1">
      <c r="G992" s="5"/>
      <c r="H992" s="5"/>
      <c r="I992" s="5"/>
      <c r="K992" s="6"/>
    </row>
    <row r="993" ht="15.75" customHeight="1">
      <c r="G993" s="5"/>
      <c r="H993" s="5"/>
      <c r="I993" s="5"/>
      <c r="K993" s="6"/>
    </row>
    <row r="994" ht="15.75" customHeight="1">
      <c r="G994" s="5"/>
      <c r="H994" s="5"/>
      <c r="I994" s="5"/>
      <c r="K994" s="6"/>
    </row>
    <row r="995" ht="15.75" customHeight="1">
      <c r="G995" s="5"/>
      <c r="H995" s="5"/>
      <c r="I995" s="5"/>
      <c r="K995" s="6"/>
    </row>
    <row r="996" ht="15.75" customHeight="1">
      <c r="G996" s="5"/>
      <c r="H996" s="5"/>
      <c r="I996" s="5"/>
      <c r="K996" s="6"/>
    </row>
    <row r="997" ht="15.75" customHeight="1">
      <c r="G997" s="5"/>
      <c r="H997" s="5"/>
      <c r="I997" s="5"/>
      <c r="K997" s="6"/>
    </row>
    <row r="998" ht="15.75" customHeight="1">
      <c r="G998" s="5"/>
      <c r="H998" s="5"/>
      <c r="I998" s="5"/>
      <c r="K998" s="6"/>
    </row>
    <row r="999" ht="15.75" customHeight="1">
      <c r="G999" s="5"/>
      <c r="H999" s="5"/>
      <c r="I999" s="5"/>
      <c r="K999" s="6"/>
    </row>
    <row r="1000" ht="15.75" customHeight="1">
      <c r="G1000" s="5"/>
      <c r="H1000" s="5"/>
      <c r="I1000" s="5"/>
      <c r="K1000" s="6"/>
    </row>
  </sheetData>
  <autoFilter ref="$A$2:$Z$70"/>
  <mergeCells count="1">
    <mergeCell ref="G1:I1"/>
  </mergeCells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27.88"/>
    <col customWidth="1" min="2" max="2" width="61.0"/>
    <col customWidth="1" min="3" max="5" width="7.63"/>
    <col customWidth="1" min="6" max="6" width="11.75"/>
    <col customWidth="1" min="7" max="7" width="10.25"/>
    <col customWidth="1" min="8" max="9" width="7.63"/>
    <col customWidth="1" min="10" max="10" width="10.0"/>
    <col customWidth="1" min="11" max="11" width="10.5"/>
    <col customWidth="1" min="12" max="26" width="7.63"/>
  </cols>
  <sheetData>
    <row r="1">
      <c r="A1" s="31" t="s">
        <v>1</v>
      </c>
      <c r="B1" s="31" t="s">
        <v>3</v>
      </c>
      <c r="G1" s="32"/>
      <c r="H1" s="33"/>
      <c r="I1" s="32"/>
      <c r="J1" s="32"/>
      <c r="K1" s="32"/>
    </row>
    <row r="2">
      <c r="A2" s="1" t="s">
        <v>161</v>
      </c>
      <c r="B2" s="21" t="s">
        <v>162</v>
      </c>
      <c r="G2" s="32"/>
      <c r="H2" s="32"/>
      <c r="I2" s="32"/>
      <c r="J2" s="32"/>
      <c r="K2" s="32"/>
    </row>
    <row r="3">
      <c r="A3" s="1" t="s">
        <v>169</v>
      </c>
      <c r="B3" s="21" t="s">
        <v>170</v>
      </c>
      <c r="G3" s="32"/>
      <c r="H3" s="32"/>
      <c r="I3" s="32"/>
      <c r="J3" s="32"/>
      <c r="K3" s="32"/>
    </row>
    <row r="4">
      <c r="A4" s="1" t="s">
        <v>171</v>
      </c>
      <c r="B4" s="21" t="s">
        <v>172</v>
      </c>
      <c r="G4" s="32"/>
      <c r="H4" s="32"/>
      <c r="I4" s="32"/>
      <c r="J4" s="32"/>
      <c r="K4" s="32"/>
    </row>
    <row r="5">
      <c r="A5" s="1" t="s">
        <v>137</v>
      </c>
      <c r="B5" s="21" t="s">
        <v>138</v>
      </c>
      <c r="G5" s="32"/>
      <c r="H5" s="32"/>
      <c r="I5" s="32"/>
      <c r="J5" s="32"/>
      <c r="K5" s="32"/>
    </row>
    <row r="6">
      <c r="A6" s="1" t="s">
        <v>141</v>
      </c>
      <c r="B6" s="21" t="s">
        <v>30</v>
      </c>
      <c r="G6" s="32"/>
      <c r="H6" s="32"/>
      <c r="I6" s="32"/>
      <c r="J6" s="32"/>
      <c r="K6" s="32"/>
    </row>
    <row r="7">
      <c r="A7" s="1" t="s">
        <v>146</v>
      </c>
      <c r="B7" s="21" t="s">
        <v>147</v>
      </c>
      <c r="G7" s="32"/>
      <c r="H7" s="32"/>
      <c r="I7" s="32"/>
      <c r="J7" s="32"/>
      <c r="K7" s="32"/>
    </row>
    <row r="8">
      <c r="A8" s="1" t="s">
        <v>153</v>
      </c>
      <c r="B8" s="21" t="s">
        <v>154</v>
      </c>
      <c r="G8" s="32"/>
      <c r="H8" s="32"/>
      <c r="I8" s="32"/>
      <c r="J8" s="32"/>
      <c r="K8" s="32"/>
    </row>
    <row r="9">
      <c r="A9" s="1" t="s">
        <v>150</v>
      </c>
      <c r="B9" s="21" t="s">
        <v>216</v>
      </c>
      <c r="G9" s="32"/>
      <c r="H9" s="32"/>
      <c r="I9" s="32"/>
      <c r="J9" s="32"/>
      <c r="K9" s="32"/>
    </row>
    <row r="10">
      <c r="A10" s="1" t="s">
        <v>174</v>
      </c>
      <c r="B10" s="21" t="s">
        <v>175</v>
      </c>
      <c r="G10" s="32"/>
      <c r="H10" s="32"/>
      <c r="I10" s="32"/>
      <c r="J10" s="32"/>
      <c r="K10" s="32"/>
    </row>
    <row r="11">
      <c r="G11" s="32"/>
      <c r="H11" s="32"/>
      <c r="I11" s="32"/>
      <c r="J11" s="32"/>
      <c r="K11" s="32"/>
    </row>
    <row r="12">
      <c r="G12" s="32"/>
      <c r="H12" s="32"/>
      <c r="I12" s="32"/>
      <c r="J12" s="32"/>
      <c r="K12" s="32"/>
    </row>
    <row r="13">
      <c r="A13" s="34" t="s">
        <v>217</v>
      </c>
      <c r="B13" s="35"/>
      <c r="C13" s="35"/>
      <c r="D13" s="35"/>
      <c r="E13" s="35"/>
      <c r="F13" s="36"/>
      <c r="G13" s="37"/>
      <c r="H13" s="37"/>
      <c r="I13" s="32"/>
      <c r="J13" s="32"/>
      <c r="K13" s="32"/>
    </row>
    <row r="14">
      <c r="A14" s="38" t="s">
        <v>218</v>
      </c>
      <c r="B14" s="39" t="s">
        <v>219</v>
      </c>
      <c r="C14" s="39" t="s">
        <v>220</v>
      </c>
      <c r="D14" s="40" t="s">
        <v>221</v>
      </c>
      <c r="E14" s="40" t="s">
        <v>222</v>
      </c>
      <c r="F14" s="40" t="s">
        <v>223</v>
      </c>
      <c r="G14" s="41" t="s">
        <v>224</v>
      </c>
      <c r="H14" s="42" t="s">
        <v>225</v>
      </c>
      <c r="I14" s="43" t="s">
        <v>226</v>
      </c>
      <c r="J14" s="43" t="s">
        <v>227</v>
      </c>
      <c r="K14" s="44" t="s">
        <v>228</v>
      </c>
    </row>
    <row r="15">
      <c r="A15" s="45"/>
      <c r="B15" s="35"/>
      <c r="C15" s="35"/>
      <c r="D15" s="35"/>
      <c r="E15" s="35"/>
      <c r="F15" s="36"/>
      <c r="G15" s="46"/>
      <c r="H15" s="47"/>
      <c r="I15" s="32"/>
      <c r="J15" s="32"/>
      <c r="K15" s="32"/>
    </row>
    <row r="16">
      <c r="A16" s="48" t="s">
        <v>229</v>
      </c>
      <c r="B16" s="49" t="s">
        <v>230</v>
      </c>
      <c r="C16" s="50" t="s">
        <v>231</v>
      </c>
      <c r="D16" s="51" t="s">
        <v>232</v>
      </c>
      <c r="E16" s="52">
        <v>39000.0</v>
      </c>
      <c r="F16" s="53">
        <v>22.1</v>
      </c>
      <c r="G16" s="54"/>
      <c r="H16" s="55">
        <v>24.31</v>
      </c>
      <c r="I16" s="32"/>
      <c r="J16" s="32"/>
      <c r="K16" s="56">
        <f t="shared" ref="K16:K22" si="1">H16*4.28</f>
        <v>104.0468</v>
      </c>
    </row>
    <row r="17">
      <c r="A17" s="57" t="s">
        <v>233</v>
      </c>
      <c r="B17" s="58" t="s">
        <v>230</v>
      </c>
      <c r="C17" s="59" t="s">
        <v>231</v>
      </c>
      <c r="D17" s="60" t="s">
        <v>232</v>
      </c>
      <c r="E17" s="61">
        <v>39000.0</v>
      </c>
      <c r="F17" s="62">
        <v>32.0</v>
      </c>
      <c r="G17" s="63">
        <v>30.3</v>
      </c>
      <c r="H17" s="64">
        <v>35.2</v>
      </c>
      <c r="I17" s="65"/>
      <c r="J17" s="66"/>
      <c r="K17" s="56">
        <f t="shared" si="1"/>
        <v>150.656</v>
      </c>
    </row>
    <row r="18">
      <c r="A18" s="48" t="s">
        <v>234</v>
      </c>
      <c r="B18" s="49" t="s">
        <v>230</v>
      </c>
      <c r="C18" s="50" t="s">
        <v>231</v>
      </c>
      <c r="D18" s="51" t="s">
        <v>232</v>
      </c>
      <c r="E18" s="52">
        <v>39000.0</v>
      </c>
      <c r="F18" s="53">
        <v>25.6</v>
      </c>
      <c r="G18" s="67"/>
      <c r="H18" s="55">
        <v>28.16</v>
      </c>
      <c r="I18" s="32"/>
      <c r="J18" s="32"/>
      <c r="K18" s="56">
        <f t="shared" si="1"/>
        <v>120.5248</v>
      </c>
    </row>
    <row r="19">
      <c r="A19" s="48" t="s">
        <v>235</v>
      </c>
      <c r="B19" s="49" t="s">
        <v>230</v>
      </c>
      <c r="C19" s="50" t="s">
        <v>231</v>
      </c>
      <c r="D19" s="51" t="s">
        <v>232</v>
      </c>
      <c r="E19" s="52">
        <v>39000.0</v>
      </c>
      <c r="F19" s="53">
        <v>33.8</v>
      </c>
      <c r="G19" s="67"/>
      <c r="H19" s="55">
        <v>37.18</v>
      </c>
      <c r="I19" s="32"/>
      <c r="J19" s="32"/>
      <c r="K19" s="56">
        <f t="shared" si="1"/>
        <v>159.1304</v>
      </c>
    </row>
    <row r="20">
      <c r="A20" s="48" t="s">
        <v>236</v>
      </c>
      <c r="B20" s="49" t="s">
        <v>230</v>
      </c>
      <c r="C20" s="50" t="s">
        <v>231</v>
      </c>
      <c r="D20" s="51" t="s">
        <v>232</v>
      </c>
      <c r="E20" s="52">
        <v>39000.0</v>
      </c>
      <c r="F20" s="53">
        <v>27.9</v>
      </c>
      <c r="G20" s="67"/>
      <c r="H20" s="55">
        <v>30.69</v>
      </c>
      <c r="I20" s="32"/>
      <c r="J20" s="32"/>
      <c r="K20" s="56">
        <f t="shared" si="1"/>
        <v>131.3532</v>
      </c>
    </row>
    <row r="21" ht="15.75" customHeight="1">
      <c r="A21" s="48" t="s">
        <v>237</v>
      </c>
      <c r="B21" s="49" t="s">
        <v>230</v>
      </c>
      <c r="C21" s="50" t="s">
        <v>231</v>
      </c>
      <c r="D21" s="51" t="s">
        <v>232</v>
      </c>
      <c r="E21" s="52">
        <v>39000.0</v>
      </c>
      <c r="F21" s="53">
        <v>35.0</v>
      </c>
      <c r="G21" s="67"/>
      <c r="H21" s="55">
        <v>38.5</v>
      </c>
      <c r="I21" s="32"/>
      <c r="J21" s="32"/>
      <c r="K21" s="56">
        <f t="shared" si="1"/>
        <v>164.78</v>
      </c>
    </row>
    <row r="22" ht="15.75" customHeight="1">
      <c r="A22" s="68" t="s">
        <v>238</v>
      </c>
      <c r="B22" s="58"/>
      <c r="C22" s="58"/>
      <c r="D22" s="60" t="s">
        <v>232</v>
      </c>
      <c r="E22" s="61">
        <v>21600.0</v>
      </c>
      <c r="F22" s="62">
        <v>26.8</v>
      </c>
      <c r="G22" s="69"/>
      <c r="H22" s="70">
        <v>29.48</v>
      </c>
      <c r="I22" s="65"/>
      <c r="J22" s="32"/>
      <c r="K22" s="56">
        <f t="shared" si="1"/>
        <v>126.1744</v>
      </c>
    </row>
    <row r="23" ht="15.75" customHeight="1">
      <c r="A23" s="71"/>
      <c r="B23" s="35"/>
      <c r="C23" s="35"/>
      <c r="D23" s="35"/>
      <c r="E23" s="35"/>
      <c r="F23" s="36"/>
      <c r="G23" s="72"/>
      <c r="H23" s="72"/>
      <c r="I23" s="32"/>
      <c r="J23" s="32"/>
      <c r="K23" s="56"/>
    </row>
    <row r="24" ht="15.75" customHeight="1">
      <c r="A24" s="48" t="s">
        <v>239</v>
      </c>
      <c r="B24" s="49" t="s">
        <v>230</v>
      </c>
      <c r="C24" s="49" t="s">
        <v>230</v>
      </c>
      <c r="D24" s="51" t="s">
        <v>232</v>
      </c>
      <c r="E24" s="52">
        <v>22800.0</v>
      </c>
      <c r="F24" s="53">
        <v>31.8</v>
      </c>
      <c r="G24" s="67"/>
      <c r="H24" s="55">
        <v>34.98</v>
      </c>
      <c r="I24" s="32"/>
      <c r="J24" s="32"/>
      <c r="K24" s="56">
        <f t="shared" ref="K24:K41" si="2">H24*4.28</f>
        <v>149.7144</v>
      </c>
    </row>
    <row r="25" ht="15.75" customHeight="1">
      <c r="A25" s="68" t="s">
        <v>240</v>
      </c>
      <c r="B25" s="58" t="s">
        <v>230</v>
      </c>
      <c r="C25" s="58" t="s">
        <v>230</v>
      </c>
      <c r="D25" s="60" t="s">
        <v>232</v>
      </c>
      <c r="E25" s="61">
        <v>22800.0</v>
      </c>
      <c r="F25" s="62">
        <v>46.6</v>
      </c>
      <c r="G25" s="63">
        <v>45.9</v>
      </c>
      <c r="H25" s="64">
        <v>51.26</v>
      </c>
      <c r="I25" s="65"/>
      <c r="J25" s="66"/>
      <c r="K25" s="56">
        <f t="shared" si="2"/>
        <v>219.3928</v>
      </c>
    </row>
    <row r="26" ht="15.75" customHeight="1">
      <c r="A26" s="48" t="s">
        <v>241</v>
      </c>
      <c r="B26" s="49" t="s">
        <v>230</v>
      </c>
      <c r="C26" s="49" t="s">
        <v>230</v>
      </c>
      <c r="D26" s="51" t="s">
        <v>232</v>
      </c>
      <c r="E26" s="52">
        <v>22800.0</v>
      </c>
      <c r="F26" s="53">
        <v>33.0</v>
      </c>
      <c r="G26" s="67"/>
      <c r="H26" s="55">
        <v>36.3</v>
      </c>
      <c r="I26" s="32"/>
      <c r="J26" s="32"/>
      <c r="K26" s="56">
        <f t="shared" si="2"/>
        <v>155.364</v>
      </c>
    </row>
    <row r="27" ht="15.75" customHeight="1">
      <c r="A27" s="68" t="s">
        <v>242</v>
      </c>
      <c r="B27" s="58" t="s">
        <v>230</v>
      </c>
      <c r="C27" s="58" t="s">
        <v>230</v>
      </c>
      <c r="D27" s="60" t="s">
        <v>232</v>
      </c>
      <c r="E27" s="61">
        <v>22800.0</v>
      </c>
      <c r="F27" s="62">
        <v>44.7</v>
      </c>
      <c r="G27" s="63">
        <v>44.0</v>
      </c>
      <c r="H27" s="64">
        <v>49.17</v>
      </c>
      <c r="I27" s="65"/>
      <c r="J27" s="66"/>
      <c r="K27" s="56">
        <f t="shared" si="2"/>
        <v>210.4476</v>
      </c>
    </row>
    <row r="28" ht="15.75" customHeight="1">
      <c r="A28" s="48" t="s">
        <v>243</v>
      </c>
      <c r="B28" s="49" t="s">
        <v>230</v>
      </c>
      <c r="C28" s="49" t="s">
        <v>230</v>
      </c>
      <c r="D28" s="51" t="s">
        <v>232</v>
      </c>
      <c r="E28" s="52">
        <v>22800.0</v>
      </c>
      <c r="F28" s="53">
        <v>36.9</v>
      </c>
      <c r="G28" s="67"/>
      <c r="H28" s="55">
        <v>40.59</v>
      </c>
      <c r="I28" s="32"/>
      <c r="J28" s="32"/>
      <c r="K28" s="56">
        <f t="shared" si="2"/>
        <v>173.7252</v>
      </c>
    </row>
    <row r="29" ht="15.75" customHeight="1">
      <c r="A29" s="48" t="s">
        <v>244</v>
      </c>
      <c r="B29" s="49" t="s">
        <v>230</v>
      </c>
      <c r="C29" s="49" t="s">
        <v>230</v>
      </c>
      <c r="D29" s="51" t="s">
        <v>232</v>
      </c>
      <c r="E29" s="52">
        <v>19200.0</v>
      </c>
      <c r="F29" s="53">
        <v>49.3</v>
      </c>
      <c r="G29" s="67"/>
      <c r="H29" s="55">
        <v>54.23</v>
      </c>
      <c r="I29" s="32"/>
      <c r="J29" s="32"/>
      <c r="K29" s="56">
        <f t="shared" si="2"/>
        <v>232.1044</v>
      </c>
    </row>
    <row r="30" ht="15.75" customHeight="1">
      <c r="A30" s="48" t="s">
        <v>245</v>
      </c>
      <c r="B30" s="49" t="s">
        <v>230</v>
      </c>
      <c r="C30" s="49" t="s">
        <v>230</v>
      </c>
      <c r="D30" s="51" t="s">
        <v>232</v>
      </c>
      <c r="E30" s="52">
        <v>18000.0</v>
      </c>
      <c r="F30" s="53">
        <v>48.0</v>
      </c>
      <c r="G30" s="67"/>
      <c r="H30" s="55">
        <v>52.8</v>
      </c>
      <c r="I30" s="32"/>
      <c r="J30" s="32"/>
      <c r="K30" s="56">
        <f t="shared" si="2"/>
        <v>225.984</v>
      </c>
    </row>
    <row r="31" ht="15.75" customHeight="1">
      <c r="A31" s="48" t="s">
        <v>246</v>
      </c>
      <c r="B31" s="49" t="s">
        <v>230</v>
      </c>
      <c r="C31" s="49" t="s">
        <v>230</v>
      </c>
      <c r="D31" s="51" t="s">
        <v>232</v>
      </c>
      <c r="E31" s="52">
        <v>24000.0</v>
      </c>
      <c r="F31" s="53">
        <v>36.9</v>
      </c>
      <c r="G31" s="67"/>
      <c r="H31" s="55">
        <v>40.59</v>
      </c>
      <c r="I31" s="32"/>
      <c r="J31" s="32"/>
      <c r="K31" s="56">
        <f t="shared" si="2"/>
        <v>173.7252</v>
      </c>
    </row>
    <row r="32" ht="15.75" customHeight="1">
      <c r="A32" s="48" t="s">
        <v>247</v>
      </c>
      <c r="B32" s="49" t="s">
        <v>230</v>
      </c>
      <c r="C32" s="49" t="s">
        <v>230</v>
      </c>
      <c r="D32" s="51" t="s">
        <v>232</v>
      </c>
      <c r="E32" s="52">
        <v>20400.0</v>
      </c>
      <c r="F32" s="53">
        <v>45.1</v>
      </c>
      <c r="G32" s="67"/>
      <c r="H32" s="55">
        <v>49.61</v>
      </c>
      <c r="I32" s="32"/>
      <c r="J32" s="32"/>
      <c r="K32" s="56">
        <f t="shared" si="2"/>
        <v>212.3308</v>
      </c>
    </row>
    <row r="33" ht="15.75" customHeight="1">
      <c r="A33" s="48" t="s">
        <v>248</v>
      </c>
      <c r="B33" s="49" t="s">
        <v>230</v>
      </c>
      <c r="C33" s="49" t="s">
        <v>230</v>
      </c>
      <c r="D33" s="51" t="s">
        <v>232</v>
      </c>
      <c r="E33" s="52">
        <v>22800.0</v>
      </c>
      <c r="F33" s="53">
        <v>77.1</v>
      </c>
      <c r="G33" s="67"/>
      <c r="H33" s="55">
        <v>84.81</v>
      </c>
      <c r="I33" s="32"/>
      <c r="J33" s="32"/>
      <c r="K33" s="56">
        <f t="shared" si="2"/>
        <v>362.9868</v>
      </c>
    </row>
    <row r="34" ht="15.75" customHeight="1">
      <c r="A34" s="48" t="s">
        <v>249</v>
      </c>
      <c r="B34" s="49" t="s">
        <v>230</v>
      </c>
      <c r="C34" s="49" t="s">
        <v>230</v>
      </c>
      <c r="D34" s="51" t="s">
        <v>232</v>
      </c>
      <c r="E34" s="52">
        <v>21600.0</v>
      </c>
      <c r="F34" s="53">
        <v>58.9</v>
      </c>
      <c r="G34" s="67"/>
      <c r="H34" s="55">
        <v>64.79</v>
      </c>
      <c r="I34" s="32"/>
      <c r="J34" s="32"/>
      <c r="K34" s="56">
        <f t="shared" si="2"/>
        <v>277.3012</v>
      </c>
    </row>
    <row r="35" ht="15.75" customHeight="1">
      <c r="A35" s="68" t="s">
        <v>250</v>
      </c>
      <c r="B35" s="58" t="s">
        <v>230</v>
      </c>
      <c r="C35" s="58" t="s">
        <v>230</v>
      </c>
      <c r="D35" s="60" t="s">
        <v>232</v>
      </c>
      <c r="E35" s="61">
        <v>21600.0</v>
      </c>
      <c r="F35" s="62">
        <v>63.6</v>
      </c>
      <c r="G35" s="63">
        <v>61.9</v>
      </c>
      <c r="H35" s="64">
        <v>69.96</v>
      </c>
      <c r="I35" s="65"/>
      <c r="J35" s="66"/>
      <c r="K35" s="56">
        <f t="shared" si="2"/>
        <v>299.4288</v>
      </c>
    </row>
    <row r="36" ht="15.75" customHeight="1">
      <c r="A36" s="68" t="s">
        <v>251</v>
      </c>
      <c r="B36" s="58"/>
      <c r="C36" s="58"/>
      <c r="D36" s="60" t="s">
        <v>232</v>
      </c>
      <c r="E36" s="61">
        <v>15000.0</v>
      </c>
      <c r="F36" s="62">
        <v>36.5</v>
      </c>
      <c r="G36" s="69"/>
      <c r="H36" s="70">
        <v>40.15</v>
      </c>
      <c r="I36" s="65"/>
      <c r="J36" s="32"/>
      <c r="K36" s="56">
        <f t="shared" si="2"/>
        <v>171.842</v>
      </c>
    </row>
    <row r="37" ht="15.75" customHeight="1">
      <c r="A37" s="48" t="s">
        <v>252</v>
      </c>
      <c r="B37" s="49"/>
      <c r="C37" s="49"/>
      <c r="D37" s="51" t="s">
        <v>232</v>
      </c>
      <c r="E37" s="52">
        <v>16000.0</v>
      </c>
      <c r="F37" s="53">
        <v>36.5</v>
      </c>
      <c r="G37" s="67"/>
      <c r="H37" s="55">
        <v>40.15</v>
      </c>
      <c r="I37" s="32"/>
      <c r="J37" s="32"/>
      <c r="K37" s="56">
        <f t="shared" si="2"/>
        <v>171.842</v>
      </c>
    </row>
    <row r="38" ht="15.75" customHeight="1">
      <c r="A38" s="71"/>
      <c r="B38" s="35"/>
      <c r="C38" s="35"/>
      <c r="D38" s="35"/>
      <c r="E38" s="35"/>
      <c r="F38" s="36"/>
      <c r="G38" s="72"/>
      <c r="H38" s="72"/>
      <c r="I38" s="32"/>
      <c r="J38" s="32"/>
      <c r="K38" s="56">
        <f t="shared" si="2"/>
        <v>0</v>
      </c>
    </row>
    <row r="39" ht="15.75" customHeight="1">
      <c r="A39" s="68" t="s">
        <v>253</v>
      </c>
      <c r="B39" s="58"/>
      <c r="C39" s="58"/>
      <c r="D39" s="60" t="s">
        <v>232</v>
      </c>
      <c r="E39" s="61">
        <v>35000.0</v>
      </c>
      <c r="F39" s="62">
        <v>42.2</v>
      </c>
      <c r="G39" s="63">
        <v>41.2</v>
      </c>
      <c r="H39" s="64">
        <v>46.42</v>
      </c>
      <c r="I39" s="65"/>
      <c r="J39" s="66"/>
      <c r="K39" s="56">
        <f t="shared" si="2"/>
        <v>198.6776</v>
      </c>
    </row>
    <row r="40" ht="15.75" customHeight="1">
      <c r="A40" s="68" t="s">
        <v>150</v>
      </c>
      <c r="B40" s="58" t="s">
        <v>230</v>
      </c>
      <c r="C40" s="58" t="s">
        <v>230</v>
      </c>
      <c r="D40" s="60" t="s">
        <v>232</v>
      </c>
      <c r="E40" s="61">
        <v>14000.0</v>
      </c>
      <c r="F40" s="62">
        <v>82.1</v>
      </c>
      <c r="G40" s="69"/>
      <c r="H40" s="70">
        <v>90.31</v>
      </c>
      <c r="I40" s="65"/>
      <c r="J40" s="32"/>
      <c r="K40" s="56">
        <f t="shared" si="2"/>
        <v>386.5268</v>
      </c>
    </row>
    <row r="41" ht="15.75" customHeight="1">
      <c r="A41" s="68" t="s">
        <v>174</v>
      </c>
      <c r="B41" s="58" t="s">
        <v>230</v>
      </c>
      <c r="C41" s="58" t="s">
        <v>230</v>
      </c>
      <c r="D41" s="60" t="s">
        <v>232</v>
      </c>
      <c r="E41" s="61">
        <v>10000.0</v>
      </c>
      <c r="F41" s="62">
        <v>67.0</v>
      </c>
      <c r="G41" s="69"/>
      <c r="H41" s="70">
        <v>73.7</v>
      </c>
      <c r="I41" s="65"/>
      <c r="J41" s="32"/>
      <c r="K41" s="56">
        <f t="shared" si="2"/>
        <v>315.436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B$1">
    <sortState ref="A1:B1">
      <sortCondition ref="A1"/>
    </sortState>
  </autoFilter>
  <mergeCells count="4">
    <mergeCell ref="A13:F13"/>
    <mergeCell ref="A15:F15"/>
    <mergeCell ref="A23:F23"/>
    <mergeCell ref="A38:F38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28.0"/>
    <col customWidth="1" min="2" max="2" width="47.13"/>
    <col customWidth="1" min="3" max="3" width="14.25"/>
    <col customWidth="1" min="4" max="4" width="14.75"/>
    <col customWidth="1" min="5" max="5" width="12.63"/>
    <col customWidth="1" min="6" max="6" width="15.5"/>
    <col customWidth="1" min="7" max="26" width="7.63"/>
  </cols>
  <sheetData>
    <row r="2">
      <c r="A2" s="73" t="s">
        <v>1</v>
      </c>
      <c r="B2" s="74" t="s">
        <v>3</v>
      </c>
      <c r="C2" s="74" t="s">
        <v>4</v>
      </c>
      <c r="D2" s="75" t="s">
        <v>5</v>
      </c>
      <c r="E2" s="76" t="s">
        <v>254</v>
      </c>
    </row>
    <row r="3">
      <c r="A3" s="77" t="s">
        <v>22</v>
      </c>
      <c r="B3" s="78" t="s">
        <v>24</v>
      </c>
      <c r="C3" s="79" t="s">
        <v>25</v>
      </c>
      <c r="D3" s="79" t="s">
        <v>19</v>
      </c>
      <c r="E3" s="80">
        <v>148.0</v>
      </c>
    </row>
    <row r="4">
      <c r="A4" s="77" t="s">
        <v>29</v>
      </c>
      <c r="B4" s="81" t="s">
        <v>30</v>
      </c>
      <c r="C4" s="79" t="s">
        <v>31</v>
      </c>
      <c r="D4" s="79" t="s">
        <v>19</v>
      </c>
      <c r="E4" s="80">
        <v>139.0</v>
      </c>
    </row>
    <row r="5">
      <c r="A5" s="77" t="s">
        <v>32</v>
      </c>
      <c r="B5" s="81" t="s">
        <v>33</v>
      </c>
      <c r="C5" s="79" t="s">
        <v>34</v>
      </c>
      <c r="D5" s="79" t="s">
        <v>19</v>
      </c>
      <c r="E5" s="80">
        <v>121.0</v>
      </c>
    </row>
    <row r="6">
      <c r="A6" s="77" t="s">
        <v>35</v>
      </c>
      <c r="B6" s="79" t="s">
        <v>36</v>
      </c>
      <c r="C6" s="79" t="s">
        <v>37</v>
      </c>
      <c r="D6" s="79" t="s">
        <v>19</v>
      </c>
      <c r="E6" s="80">
        <v>139.0</v>
      </c>
    </row>
    <row r="7">
      <c r="A7" s="77" t="s">
        <v>38</v>
      </c>
      <c r="B7" s="81" t="s">
        <v>39</v>
      </c>
      <c r="C7" s="79" t="s">
        <v>40</v>
      </c>
      <c r="D7" s="79" t="s">
        <v>19</v>
      </c>
      <c r="E7" s="80">
        <v>215.0</v>
      </c>
    </row>
    <row r="8">
      <c r="A8" s="77" t="s">
        <v>44</v>
      </c>
      <c r="B8" s="79" t="s">
        <v>45</v>
      </c>
      <c r="C8" s="79" t="s">
        <v>46</v>
      </c>
      <c r="D8" s="79" t="s">
        <v>19</v>
      </c>
      <c r="E8" s="80">
        <v>158.0</v>
      </c>
    </row>
    <row r="9">
      <c r="A9" s="77" t="s">
        <v>50</v>
      </c>
      <c r="B9" s="81" t="s">
        <v>51</v>
      </c>
      <c r="C9" s="79" t="s">
        <v>52</v>
      </c>
      <c r="D9" s="79" t="s">
        <v>19</v>
      </c>
      <c r="E9" s="80">
        <v>222.0</v>
      </c>
    </row>
    <row r="10">
      <c r="A10" s="77" t="s">
        <v>72</v>
      </c>
      <c r="B10" s="81" t="s">
        <v>73</v>
      </c>
      <c r="C10" s="79" t="s">
        <v>74</v>
      </c>
      <c r="D10" s="79" t="s">
        <v>19</v>
      </c>
      <c r="E10" s="80">
        <v>217.0</v>
      </c>
    </row>
    <row r="11">
      <c r="A11" s="77" t="s">
        <v>78</v>
      </c>
      <c r="B11" s="79" t="s">
        <v>79</v>
      </c>
      <c r="C11" s="79" t="s">
        <v>80</v>
      </c>
      <c r="D11" s="79" t="s">
        <v>19</v>
      </c>
      <c r="E11" s="80">
        <v>270.0</v>
      </c>
    </row>
    <row r="12">
      <c r="A12" s="77" t="s">
        <v>84</v>
      </c>
      <c r="B12" s="81" t="s">
        <v>85</v>
      </c>
      <c r="C12" s="79" t="s">
        <v>86</v>
      </c>
      <c r="D12" s="79" t="s">
        <v>19</v>
      </c>
      <c r="E12" s="80">
        <v>87.0</v>
      </c>
    </row>
    <row r="13">
      <c r="A13" s="77" t="s">
        <v>87</v>
      </c>
      <c r="B13" s="81" t="s">
        <v>88</v>
      </c>
      <c r="C13" s="79" t="s">
        <v>89</v>
      </c>
      <c r="D13" s="79" t="s">
        <v>19</v>
      </c>
      <c r="E13" s="80">
        <v>93.0</v>
      </c>
    </row>
    <row r="14">
      <c r="A14" s="77" t="s">
        <v>107</v>
      </c>
      <c r="B14" s="81" t="s">
        <v>108</v>
      </c>
      <c r="C14" s="79" t="s">
        <v>109</v>
      </c>
      <c r="D14" s="79" t="s">
        <v>19</v>
      </c>
      <c r="E14" s="80">
        <v>125.0</v>
      </c>
    </row>
    <row r="15">
      <c r="A15" s="77" t="s">
        <v>121</v>
      </c>
      <c r="B15" s="81" t="s">
        <v>122</v>
      </c>
      <c r="C15" s="79" t="s">
        <v>123</v>
      </c>
      <c r="D15" s="79" t="s">
        <v>19</v>
      </c>
      <c r="E15" s="80">
        <v>178.0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23.75"/>
    <col customWidth="1" min="3" max="3" width="7.63"/>
    <col customWidth="1" min="4" max="4" width="60.13"/>
    <col customWidth="1" min="5" max="5" width="30.75"/>
    <col customWidth="1" min="6" max="6" width="7.63"/>
    <col customWidth="1" min="7" max="7" width="9.5"/>
    <col customWidth="1" min="8" max="8" width="11.75"/>
    <col customWidth="1" min="9" max="9" width="12.75"/>
    <col customWidth="1" min="10" max="26" width="7.63"/>
  </cols>
  <sheetData>
    <row r="1">
      <c r="A1" s="82" t="s">
        <v>0</v>
      </c>
      <c r="B1" s="82" t="s">
        <v>1</v>
      </c>
      <c r="C1" s="82" t="s">
        <v>2</v>
      </c>
      <c r="D1" s="82" t="s">
        <v>3</v>
      </c>
      <c r="E1" s="82" t="s">
        <v>4</v>
      </c>
      <c r="F1" s="82" t="s">
        <v>5</v>
      </c>
      <c r="G1" s="83" t="s">
        <v>255</v>
      </c>
      <c r="H1" s="82" t="s">
        <v>9</v>
      </c>
      <c r="I1" s="84" t="s">
        <v>10</v>
      </c>
      <c r="J1" s="82" t="s">
        <v>11</v>
      </c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</row>
    <row r="2">
      <c r="A2" s="30" t="s">
        <v>15</v>
      </c>
      <c r="B2" s="30" t="s">
        <v>124</v>
      </c>
      <c r="C2" s="30" t="s">
        <v>204</v>
      </c>
      <c r="D2" s="85" t="s">
        <v>125</v>
      </c>
      <c r="E2" s="30" t="s">
        <v>124</v>
      </c>
      <c r="F2" s="30" t="s">
        <v>126</v>
      </c>
      <c r="G2" s="5">
        <v>18200.0</v>
      </c>
      <c r="H2" s="30">
        <v>18200.0</v>
      </c>
      <c r="I2" s="6">
        <v>0.14</v>
      </c>
      <c r="J2" s="30">
        <v>2600.0</v>
      </c>
    </row>
    <row r="3">
      <c r="A3" s="30" t="s">
        <v>15</v>
      </c>
      <c r="B3" s="30" t="s">
        <v>188</v>
      </c>
      <c r="C3" s="30" t="s">
        <v>204</v>
      </c>
      <c r="D3" s="30" t="s">
        <v>189</v>
      </c>
      <c r="E3" s="30" t="s">
        <v>190</v>
      </c>
      <c r="F3" s="30" t="s">
        <v>191</v>
      </c>
      <c r="G3" s="5">
        <v>0.0</v>
      </c>
      <c r="H3" s="30">
        <v>4160.0</v>
      </c>
      <c r="I3" s="6">
        <v>0.59</v>
      </c>
    </row>
    <row r="4">
      <c r="A4" s="30" t="s">
        <v>15</v>
      </c>
      <c r="B4" s="30" t="s">
        <v>192</v>
      </c>
      <c r="C4" s="30" t="s">
        <v>204</v>
      </c>
      <c r="D4" s="30" t="s">
        <v>193</v>
      </c>
      <c r="E4" s="30" t="s">
        <v>193</v>
      </c>
      <c r="F4" s="30" t="s">
        <v>191</v>
      </c>
      <c r="G4" s="5">
        <v>0.0</v>
      </c>
      <c r="H4" s="30">
        <v>0.0</v>
      </c>
      <c r="I4" s="6">
        <v>0.53</v>
      </c>
    </row>
    <row r="5">
      <c r="A5" s="30" t="s">
        <v>15</v>
      </c>
      <c r="B5" s="30" t="s">
        <v>194</v>
      </c>
      <c r="C5" s="30" t="s">
        <v>204</v>
      </c>
      <c r="D5" s="30" t="s">
        <v>195</v>
      </c>
      <c r="E5" s="30" t="s">
        <v>194</v>
      </c>
      <c r="F5" s="30" t="s">
        <v>191</v>
      </c>
      <c r="G5" s="5">
        <v>8960.0</v>
      </c>
      <c r="H5" s="30">
        <v>22310.0</v>
      </c>
      <c r="I5" s="6">
        <v>0.56</v>
      </c>
    </row>
    <row r="6">
      <c r="A6" s="30" t="s">
        <v>15</v>
      </c>
      <c r="B6" s="30" t="s">
        <v>16</v>
      </c>
      <c r="C6" s="30" t="s">
        <v>204</v>
      </c>
      <c r="D6" s="86" t="s">
        <v>17</v>
      </c>
      <c r="E6" s="30" t="s">
        <v>18</v>
      </c>
      <c r="F6" s="30" t="s">
        <v>19</v>
      </c>
      <c r="G6" s="5">
        <v>6900.0</v>
      </c>
      <c r="H6" s="30">
        <v>29900.0</v>
      </c>
      <c r="I6" s="6">
        <v>0.12</v>
      </c>
      <c r="J6" s="30">
        <v>2304.0</v>
      </c>
    </row>
    <row r="7">
      <c r="A7" s="30" t="s">
        <v>15</v>
      </c>
      <c r="B7" s="30" t="s">
        <v>20</v>
      </c>
      <c r="C7" s="30" t="s">
        <v>204</v>
      </c>
      <c r="D7" s="30" t="s">
        <v>21</v>
      </c>
      <c r="E7" s="30">
        <v>4.05030023E8</v>
      </c>
      <c r="F7" s="30" t="s">
        <v>19</v>
      </c>
      <c r="G7" s="5">
        <v>0.0</v>
      </c>
      <c r="H7" s="30">
        <v>0.0</v>
      </c>
      <c r="I7" s="6">
        <v>0.19</v>
      </c>
      <c r="J7" s="30">
        <v>810.0</v>
      </c>
    </row>
    <row r="8">
      <c r="A8" s="30" t="s">
        <v>15</v>
      </c>
      <c r="B8" s="30" t="s">
        <v>127</v>
      </c>
      <c r="C8" s="30" t="s">
        <v>204</v>
      </c>
      <c r="D8" s="30" t="s">
        <v>128</v>
      </c>
      <c r="E8" s="30" t="s">
        <v>127</v>
      </c>
      <c r="F8" s="30" t="s">
        <v>126</v>
      </c>
      <c r="G8" s="5">
        <v>0.0</v>
      </c>
      <c r="H8" s="30">
        <v>0.0</v>
      </c>
      <c r="I8" s="6">
        <v>0.11</v>
      </c>
      <c r="J8" s="30">
        <v>1400.0</v>
      </c>
    </row>
    <row r="9">
      <c r="A9" s="30" t="s">
        <v>15</v>
      </c>
      <c r="B9" s="30" t="s">
        <v>129</v>
      </c>
      <c r="C9" s="30" t="s">
        <v>204</v>
      </c>
      <c r="D9" s="30" t="s">
        <v>130</v>
      </c>
      <c r="E9" s="30" t="s">
        <v>129</v>
      </c>
      <c r="F9" s="30" t="s">
        <v>126</v>
      </c>
      <c r="G9" s="5">
        <v>0.0</v>
      </c>
      <c r="H9" s="30">
        <v>0.0</v>
      </c>
      <c r="I9" s="6">
        <v>0.0</v>
      </c>
      <c r="J9" s="30">
        <v>2400.0</v>
      </c>
    </row>
    <row r="10">
      <c r="A10" s="30" t="s">
        <v>15</v>
      </c>
      <c r="B10" s="30" t="s">
        <v>131</v>
      </c>
      <c r="C10" s="30" t="s">
        <v>23</v>
      </c>
      <c r="D10" s="85" t="s">
        <v>132</v>
      </c>
      <c r="E10" s="30" t="s">
        <v>131</v>
      </c>
      <c r="F10" s="30" t="s">
        <v>126</v>
      </c>
      <c r="G10" s="5">
        <v>0.0</v>
      </c>
      <c r="H10" s="30">
        <v>0.0</v>
      </c>
      <c r="I10" s="6">
        <v>0.17</v>
      </c>
      <c r="J10" s="30">
        <v>1400.0</v>
      </c>
    </row>
    <row r="11">
      <c r="A11" s="30" t="s">
        <v>15</v>
      </c>
      <c r="B11" s="30" t="s">
        <v>133</v>
      </c>
      <c r="C11" s="30" t="s">
        <v>204</v>
      </c>
      <c r="D11" s="30" t="s">
        <v>134</v>
      </c>
      <c r="E11" s="30" t="s">
        <v>133</v>
      </c>
      <c r="F11" s="30" t="s">
        <v>126</v>
      </c>
      <c r="G11" s="5">
        <v>700.0</v>
      </c>
      <c r="H11" s="30">
        <v>700.0</v>
      </c>
      <c r="I11" s="6">
        <v>0.32</v>
      </c>
      <c r="J11" s="30">
        <v>700.0</v>
      </c>
    </row>
    <row r="12">
      <c r="A12" s="30" t="s">
        <v>15</v>
      </c>
      <c r="B12" s="30" t="s">
        <v>135</v>
      </c>
      <c r="C12" s="30" t="s">
        <v>204</v>
      </c>
      <c r="D12" s="30" t="s">
        <v>136</v>
      </c>
      <c r="E12" s="30" t="s">
        <v>135</v>
      </c>
      <c r="F12" s="30" t="s">
        <v>126</v>
      </c>
      <c r="G12" s="5">
        <v>19200.0</v>
      </c>
      <c r="H12" s="30">
        <v>19200.0</v>
      </c>
      <c r="I12" s="6">
        <v>0.26</v>
      </c>
      <c r="J12" s="30">
        <v>800.0</v>
      </c>
    </row>
    <row r="13">
      <c r="A13" s="30" t="s">
        <v>15</v>
      </c>
      <c r="B13" s="30" t="s">
        <v>183</v>
      </c>
      <c r="C13" s="30" t="s">
        <v>204</v>
      </c>
      <c r="D13" s="30" t="s">
        <v>184</v>
      </c>
      <c r="F13" s="30" t="s">
        <v>185</v>
      </c>
      <c r="G13" s="5">
        <v>5400.0</v>
      </c>
      <c r="H13" s="30">
        <v>7400.0</v>
      </c>
      <c r="I13" s="6">
        <v>0.25</v>
      </c>
    </row>
    <row r="14">
      <c r="A14" s="30" t="s">
        <v>15</v>
      </c>
      <c r="B14" s="30" t="s">
        <v>186</v>
      </c>
      <c r="C14" s="30" t="s">
        <v>204</v>
      </c>
      <c r="D14" s="30" t="s">
        <v>187</v>
      </c>
      <c r="F14" s="30" t="s">
        <v>185</v>
      </c>
      <c r="G14" s="5">
        <v>0.0</v>
      </c>
      <c r="H14" s="30">
        <v>0.0</v>
      </c>
      <c r="I14" s="6">
        <v>0.3</v>
      </c>
    </row>
    <row r="15">
      <c r="A15" s="30" t="s">
        <v>15</v>
      </c>
      <c r="B15" s="30" t="s">
        <v>137</v>
      </c>
      <c r="C15" s="30" t="s">
        <v>204</v>
      </c>
      <c r="D15" s="85" t="s">
        <v>138</v>
      </c>
      <c r="E15" s="30" t="s">
        <v>137</v>
      </c>
      <c r="F15" s="30" t="s">
        <v>126</v>
      </c>
      <c r="G15" s="5">
        <v>15600.0</v>
      </c>
      <c r="H15" s="30">
        <v>15600.0</v>
      </c>
      <c r="I15" s="6">
        <v>0.13</v>
      </c>
      <c r="J15" s="30">
        <v>1950.0</v>
      </c>
    </row>
    <row r="16">
      <c r="A16" s="30" t="s">
        <v>15</v>
      </c>
      <c r="B16" s="30" t="s">
        <v>139</v>
      </c>
      <c r="C16" s="30" t="s">
        <v>204</v>
      </c>
      <c r="D16" s="85" t="s">
        <v>140</v>
      </c>
      <c r="E16" s="30" t="s">
        <v>139</v>
      </c>
      <c r="F16" s="30" t="s">
        <v>126</v>
      </c>
      <c r="G16" s="5">
        <v>0.0</v>
      </c>
      <c r="H16" s="30">
        <v>0.0</v>
      </c>
      <c r="I16" s="6">
        <v>0.11</v>
      </c>
      <c r="J16" s="30">
        <v>1950.0</v>
      </c>
    </row>
    <row r="17">
      <c r="A17" s="30" t="s">
        <v>15</v>
      </c>
      <c r="B17" s="30" t="s">
        <v>22</v>
      </c>
      <c r="C17" s="30" t="s">
        <v>23</v>
      </c>
      <c r="D17" s="30" t="s">
        <v>24</v>
      </c>
      <c r="E17" s="30" t="s">
        <v>25</v>
      </c>
      <c r="F17" s="30" t="s">
        <v>19</v>
      </c>
      <c r="G17" s="5">
        <v>0.0</v>
      </c>
      <c r="H17" s="30">
        <v>0.0</v>
      </c>
      <c r="I17" s="6">
        <v>0.16</v>
      </c>
      <c r="J17" s="30">
        <v>1632.0</v>
      </c>
    </row>
    <row r="18">
      <c r="A18" s="30" t="s">
        <v>15</v>
      </c>
      <c r="B18" s="30" t="s">
        <v>26</v>
      </c>
      <c r="C18" s="30" t="s">
        <v>204</v>
      </c>
      <c r="D18" s="86" t="s">
        <v>27</v>
      </c>
      <c r="E18" s="30" t="s">
        <v>28</v>
      </c>
      <c r="F18" s="30" t="s">
        <v>19</v>
      </c>
      <c r="G18" s="5">
        <v>0.0</v>
      </c>
      <c r="H18" s="30">
        <v>33600.0</v>
      </c>
      <c r="I18" s="6">
        <v>0.13</v>
      </c>
      <c r="J18" s="30">
        <v>1680.0</v>
      </c>
    </row>
    <row r="19">
      <c r="A19" s="30" t="s">
        <v>15</v>
      </c>
      <c r="B19" s="30" t="s">
        <v>29</v>
      </c>
      <c r="C19" s="30" t="s">
        <v>23</v>
      </c>
      <c r="D19" s="86" t="s">
        <v>30</v>
      </c>
      <c r="E19" s="30" t="s">
        <v>31</v>
      </c>
      <c r="F19" s="30" t="s">
        <v>19</v>
      </c>
      <c r="G19" s="5">
        <v>8400.0</v>
      </c>
      <c r="H19" s="30">
        <v>48370.0</v>
      </c>
      <c r="I19" s="6">
        <v>0.13</v>
      </c>
      <c r="J19" s="30">
        <v>1680.0</v>
      </c>
    </row>
    <row r="20">
      <c r="A20" s="30" t="s">
        <v>15</v>
      </c>
      <c r="B20" s="30" t="s">
        <v>141</v>
      </c>
      <c r="C20" s="30" t="s">
        <v>23</v>
      </c>
      <c r="D20" s="85" t="s">
        <v>30</v>
      </c>
      <c r="E20" s="30" t="s">
        <v>141</v>
      </c>
      <c r="F20" s="30" t="s">
        <v>126</v>
      </c>
      <c r="G20" s="5">
        <v>0.0</v>
      </c>
      <c r="H20" s="30">
        <v>0.0</v>
      </c>
      <c r="I20" s="6">
        <v>0.14</v>
      </c>
      <c r="J20" s="30">
        <v>1950.0</v>
      </c>
    </row>
    <row r="21" ht="15.75" customHeight="1">
      <c r="A21" s="30" t="s">
        <v>15</v>
      </c>
      <c r="B21" s="30" t="s">
        <v>142</v>
      </c>
      <c r="C21" s="30" t="s">
        <v>204</v>
      </c>
      <c r="D21" s="85" t="s">
        <v>143</v>
      </c>
      <c r="E21" s="30" t="s">
        <v>142</v>
      </c>
      <c r="F21" s="30" t="s">
        <v>126</v>
      </c>
      <c r="G21" s="5">
        <v>93600.0</v>
      </c>
      <c r="H21" s="30">
        <v>121900.0</v>
      </c>
      <c r="I21" s="6">
        <v>0.12</v>
      </c>
      <c r="J21" s="30">
        <v>2600.0</v>
      </c>
    </row>
    <row r="22" ht="15.75" customHeight="1">
      <c r="A22" s="30" t="s">
        <v>15</v>
      </c>
      <c r="B22" s="30" t="s">
        <v>144</v>
      </c>
      <c r="C22" s="30" t="s">
        <v>204</v>
      </c>
      <c r="D22" s="30" t="s">
        <v>145</v>
      </c>
      <c r="E22" s="30" t="s">
        <v>144</v>
      </c>
      <c r="F22" s="30" t="s">
        <v>126</v>
      </c>
      <c r="G22" s="5">
        <v>17850.0</v>
      </c>
      <c r="H22" s="30">
        <v>17850.0</v>
      </c>
      <c r="I22" s="6">
        <v>0.14</v>
      </c>
      <c r="J22" s="30">
        <v>1275.0</v>
      </c>
    </row>
    <row r="23" ht="15.75" customHeight="1">
      <c r="A23" s="30" t="s">
        <v>15</v>
      </c>
      <c r="B23" s="30" t="s">
        <v>32</v>
      </c>
      <c r="C23" s="30" t="s">
        <v>204</v>
      </c>
      <c r="D23" s="86" t="s">
        <v>207</v>
      </c>
      <c r="E23" s="30" t="s">
        <v>34</v>
      </c>
      <c r="F23" s="30" t="s">
        <v>19</v>
      </c>
      <c r="G23" s="5">
        <v>3744.0</v>
      </c>
      <c r="H23" s="30">
        <v>49724.0</v>
      </c>
      <c r="I23" s="6">
        <v>0.12</v>
      </c>
      <c r="J23" s="30">
        <v>2300.0</v>
      </c>
    </row>
    <row r="24" ht="15.75" customHeight="1">
      <c r="A24" s="30" t="s">
        <v>15</v>
      </c>
      <c r="B24" s="30" t="s">
        <v>35</v>
      </c>
      <c r="C24" s="30" t="s">
        <v>23</v>
      </c>
      <c r="D24" s="86" t="s">
        <v>36</v>
      </c>
      <c r="E24" s="30" t="s">
        <v>37</v>
      </c>
      <c r="F24" s="30" t="s">
        <v>19</v>
      </c>
      <c r="G24" s="5">
        <v>0.0</v>
      </c>
      <c r="H24" s="30">
        <v>0.0</v>
      </c>
      <c r="I24" s="6">
        <v>0.13</v>
      </c>
      <c r="J24" s="30">
        <v>950.0</v>
      </c>
    </row>
    <row r="25" ht="15.75" customHeight="1">
      <c r="A25" s="30" t="s">
        <v>15</v>
      </c>
      <c r="B25" s="30" t="s">
        <v>146</v>
      </c>
      <c r="C25" s="30" t="s">
        <v>23</v>
      </c>
      <c r="D25" s="85" t="s">
        <v>147</v>
      </c>
      <c r="E25" s="30" t="s">
        <v>146</v>
      </c>
      <c r="F25" s="30" t="s">
        <v>126</v>
      </c>
      <c r="G25" s="5">
        <v>0.0</v>
      </c>
      <c r="H25" s="30">
        <v>0.0</v>
      </c>
      <c r="I25" s="6">
        <v>0.19</v>
      </c>
      <c r="J25" s="30">
        <v>950.0</v>
      </c>
    </row>
    <row r="26" ht="15.75" customHeight="1">
      <c r="A26" s="30" t="s">
        <v>15</v>
      </c>
      <c r="B26" s="30" t="s">
        <v>38</v>
      </c>
      <c r="C26" s="30" t="s">
        <v>23</v>
      </c>
      <c r="D26" s="86" t="s">
        <v>39</v>
      </c>
      <c r="E26" s="30" t="s">
        <v>40</v>
      </c>
      <c r="F26" s="30" t="s">
        <v>19</v>
      </c>
      <c r="G26" s="5">
        <v>18050.0</v>
      </c>
      <c r="H26" s="30">
        <v>18050.0</v>
      </c>
      <c r="I26" s="6">
        <v>0.2</v>
      </c>
      <c r="J26" s="30">
        <v>950.0</v>
      </c>
    </row>
    <row r="27" ht="15.75" customHeight="1">
      <c r="A27" s="30" t="s">
        <v>15</v>
      </c>
      <c r="B27" s="30" t="s">
        <v>41</v>
      </c>
      <c r="C27" s="30" t="s">
        <v>23</v>
      </c>
      <c r="D27" s="86" t="s">
        <v>42</v>
      </c>
      <c r="E27" s="30" t="s">
        <v>43</v>
      </c>
      <c r="F27" s="30" t="s">
        <v>19</v>
      </c>
      <c r="G27" s="5">
        <v>0.0</v>
      </c>
      <c r="H27" s="30">
        <v>927.0</v>
      </c>
      <c r="I27" s="6">
        <v>0.31</v>
      </c>
      <c r="J27" s="30">
        <v>927.0</v>
      </c>
    </row>
    <row r="28" ht="15.75" customHeight="1">
      <c r="A28" s="30" t="s">
        <v>15</v>
      </c>
      <c r="B28" s="30" t="s">
        <v>148</v>
      </c>
      <c r="C28" s="30" t="s">
        <v>204</v>
      </c>
      <c r="D28" s="85" t="s">
        <v>149</v>
      </c>
      <c r="E28" s="30" t="s">
        <v>148</v>
      </c>
      <c r="F28" s="30" t="s">
        <v>126</v>
      </c>
      <c r="G28" s="5">
        <v>0.0</v>
      </c>
      <c r="H28" s="30">
        <v>0.0</v>
      </c>
      <c r="I28" s="6">
        <v>0.15</v>
      </c>
      <c r="J28" s="30">
        <v>950.0</v>
      </c>
    </row>
    <row r="29" ht="15.75" customHeight="1">
      <c r="A29" s="30" t="s">
        <v>15</v>
      </c>
      <c r="B29" s="30" t="s">
        <v>44</v>
      </c>
      <c r="C29" s="30" t="s">
        <v>23</v>
      </c>
      <c r="D29" s="86" t="s">
        <v>45</v>
      </c>
      <c r="E29" s="30" t="s">
        <v>46</v>
      </c>
      <c r="F29" s="30" t="s">
        <v>19</v>
      </c>
      <c r="G29" s="5">
        <v>0.0</v>
      </c>
      <c r="H29" s="30">
        <v>0.0</v>
      </c>
      <c r="I29" s="6">
        <v>0.17</v>
      </c>
      <c r="J29" s="30">
        <v>880.0</v>
      </c>
    </row>
    <row r="30" ht="15.75" customHeight="1">
      <c r="A30" s="30" t="s">
        <v>15</v>
      </c>
      <c r="B30" s="30" t="s">
        <v>150</v>
      </c>
      <c r="C30" s="30" t="s">
        <v>23</v>
      </c>
      <c r="D30" s="85" t="s">
        <v>151</v>
      </c>
      <c r="E30" s="30" t="s">
        <v>152</v>
      </c>
      <c r="F30" s="30" t="s">
        <v>126</v>
      </c>
      <c r="G30" s="5">
        <v>5600.0</v>
      </c>
      <c r="H30" s="30">
        <v>16800.0</v>
      </c>
      <c r="I30" s="6">
        <v>0.35</v>
      </c>
      <c r="J30" s="30">
        <v>700.0</v>
      </c>
    </row>
    <row r="31" ht="15.75" customHeight="1">
      <c r="A31" s="30" t="s">
        <v>15</v>
      </c>
      <c r="B31" s="30" t="s">
        <v>153</v>
      </c>
      <c r="C31" s="30" t="s">
        <v>23</v>
      </c>
      <c r="D31" s="85" t="s">
        <v>154</v>
      </c>
      <c r="E31" s="30" t="s">
        <v>153</v>
      </c>
      <c r="F31" s="30" t="s">
        <v>126</v>
      </c>
      <c r="G31" s="5">
        <v>0.0</v>
      </c>
      <c r="H31" s="30">
        <v>0.0</v>
      </c>
      <c r="I31" s="6">
        <v>0.2</v>
      </c>
      <c r="J31" s="30">
        <v>950.0</v>
      </c>
    </row>
    <row r="32" ht="15.75" customHeight="1">
      <c r="A32" s="30" t="s">
        <v>15</v>
      </c>
      <c r="B32" s="30" t="s">
        <v>47</v>
      </c>
      <c r="C32" s="30" t="s">
        <v>204</v>
      </c>
      <c r="D32" s="86" t="s">
        <v>48</v>
      </c>
      <c r="E32" s="30" t="s">
        <v>49</v>
      </c>
      <c r="F32" s="30" t="s">
        <v>19</v>
      </c>
      <c r="G32" s="5">
        <v>0.0</v>
      </c>
      <c r="H32" s="30">
        <v>31240.0</v>
      </c>
      <c r="I32" s="6">
        <v>0.21</v>
      </c>
      <c r="J32" s="30">
        <v>1562.0</v>
      </c>
    </row>
    <row r="33" ht="15.75" customHeight="1">
      <c r="A33" s="30" t="s">
        <v>15</v>
      </c>
      <c r="B33" s="30" t="s">
        <v>50</v>
      </c>
      <c r="C33" s="30" t="s">
        <v>23</v>
      </c>
      <c r="D33" s="86" t="s">
        <v>51</v>
      </c>
      <c r="E33" s="30" t="s">
        <v>52</v>
      </c>
      <c r="F33" s="30" t="s">
        <v>19</v>
      </c>
      <c r="G33" s="5">
        <v>0.0</v>
      </c>
      <c r="H33" s="30">
        <v>0.0</v>
      </c>
      <c r="I33" s="6">
        <v>0.21</v>
      </c>
      <c r="J33" s="30">
        <v>880.0</v>
      </c>
    </row>
    <row r="34" ht="15.75" customHeight="1">
      <c r="A34" s="30" t="s">
        <v>15</v>
      </c>
      <c r="B34" s="30" t="s">
        <v>53</v>
      </c>
      <c r="C34" s="30" t="s">
        <v>204</v>
      </c>
      <c r="D34" s="86" t="s">
        <v>54</v>
      </c>
      <c r="E34" s="30" t="s">
        <v>55</v>
      </c>
      <c r="F34" s="30" t="s">
        <v>19</v>
      </c>
      <c r="G34" s="5">
        <v>0.0</v>
      </c>
      <c r="H34" s="30">
        <v>4000.0</v>
      </c>
      <c r="I34" s="6">
        <v>0.11</v>
      </c>
      <c r="J34" s="30">
        <v>2000.0</v>
      </c>
    </row>
    <row r="35" ht="15.75" customHeight="1">
      <c r="A35" s="30" t="s">
        <v>15</v>
      </c>
      <c r="B35" s="30" t="s">
        <v>56</v>
      </c>
      <c r="C35" s="30" t="s">
        <v>204</v>
      </c>
      <c r="D35" s="30" t="s">
        <v>57</v>
      </c>
      <c r="E35" s="30" t="s">
        <v>58</v>
      </c>
      <c r="F35" s="30" t="s">
        <v>19</v>
      </c>
      <c r="G35" s="5">
        <v>0.0</v>
      </c>
      <c r="H35" s="30">
        <v>0.0</v>
      </c>
      <c r="I35" s="6">
        <v>0.17</v>
      </c>
      <c r="J35" s="30">
        <v>1562.0</v>
      </c>
    </row>
    <row r="36" ht="15.75" customHeight="1">
      <c r="A36" s="30" t="s">
        <v>15</v>
      </c>
      <c r="B36" s="30" t="s">
        <v>60</v>
      </c>
      <c r="C36" s="30" t="s">
        <v>204</v>
      </c>
      <c r="D36" s="30" t="s">
        <v>61</v>
      </c>
      <c r="E36" s="30" t="s">
        <v>62</v>
      </c>
      <c r="F36" s="30" t="s">
        <v>19</v>
      </c>
      <c r="G36" s="5">
        <v>0.0</v>
      </c>
      <c r="H36" s="30">
        <v>0.0</v>
      </c>
      <c r="I36" s="6">
        <v>0.17</v>
      </c>
      <c r="J36" s="30">
        <v>1545.0</v>
      </c>
    </row>
    <row r="37" ht="15.75" customHeight="1">
      <c r="A37" s="30" t="s">
        <v>15</v>
      </c>
      <c r="B37" s="30" t="s">
        <v>155</v>
      </c>
      <c r="C37" s="30" t="s">
        <v>204</v>
      </c>
      <c r="D37" s="30" t="s">
        <v>156</v>
      </c>
      <c r="E37" s="30" t="s">
        <v>155</v>
      </c>
      <c r="F37" s="30" t="s">
        <v>126</v>
      </c>
      <c r="G37" s="5">
        <v>0.0</v>
      </c>
      <c r="H37" s="30">
        <v>0.0</v>
      </c>
      <c r="I37" s="6">
        <v>0.27</v>
      </c>
      <c r="J37" s="30">
        <v>950.0</v>
      </c>
    </row>
    <row r="38" ht="15.75" customHeight="1">
      <c r="A38" s="30" t="s">
        <v>15</v>
      </c>
      <c r="B38" s="30" t="s">
        <v>64</v>
      </c>
      <c r="C38" s="30" t="s">
        <v>23</v>
      </c>
      <c r="D38" s="30" t="s">
        <v>65</v>
      </c>
      <c r="E38" s="30" t="s">
        <v>66</v>
      </c>
      <c r="F38" s="30" t="s">
        <v>19</v>
      </c>
      <c r="G38" s="5">
        <v>0.0</v>
      </c>
      <c r="H38" s="30">
        <v>0.0</v>
      </c>
      <c r="I38" s="6">
        <v>0.39</v>
      </c>
      <c r="J38" s="30">
        <v>780.0</v>
      </c>
    </row>
    <row r="39" ht="15.75" customHeight="1">
      <c r="A39" s="30" t="s">
        <v>15</v>
      </c>
      <c r="B39" s="30" t="s">
        <v>67</v>
      </c>
      <c r="C39" s="30" t="s">
        <v>204</v>
      </c>
      <c r="D39" s="30" t="s">
        <v>68</v>
      </c>
      <c r="E39" s="30" t="s">
        <v>69</v>
      </c>
      <c r="F39" s="30" t="s">
        <v>19</v>
      </c>
      <c r="G39" s="5">
        <v>0.0</v>
      </c>
      <c r="H39" s="30">
        <v>0.0</v>
      </c>
      <c r="I39" s="6">
        <v>0.0</v>
      </c>
      <c r="J39" s="30">
        <v>850.0</v>
      </c>
    </row>
    <row r="40" ht="15.75" customHeight="1">
      <c r="A40" s="30" t="s">
        <v>15</v>
      </c>
      <c r="B40" s="30" t="s">
        <v>157</v>
      </c>
      <c r="C40" s="30" t="s">
        <v>204</v>
      </c>
      <c r="D40" s="30" t="s">
        <v>158</v>
      </c>
      <c r="E40" s="30" t="s">
        <v>157</v>
      </c>
      <c r="F40" s="30" t="s">
        <v>126</v>
      </c>
      <c r="G40" s="5">
        <v>0.0</v>
      </c>
      <c r="H40" s="30">
        <v>0.0</v>
      </c>
      <c r="I40" s="6">
        <v>0.14</v>
      </c>
      <c r="J40" s="30">
        <v>1400.0</v>
      </c>
    </row>
    <row r="41" ht="15.75" customHeight="1">
      <c r="A41" s="30" t="s">
        <v>15</v>
      </c>
      <c r="B41" s="30" t="s">
        <v>70</v>
      </c>
      <c r="C41" s="30" t="s">
        <v>204</v>
      </c>
      <c r="D41" s="30" t="s">
        <v>71</v>
      </c>
      <c r="E41" s="30">
        <v>4.05090006E8</v>
      </c>
      <c r="F41" s="30" t="s">
        <v>19</v>
      </c>
      <c r="G41" s="5">
        <v>0.0</v>
      </c>
      <c r="H41" s="30">
        <v>0.0</v>
      </c>
      <c r="I41" s="6">
        <v>0.12</v>
      </c>
      <c r="J41" s="30">
        <v>2240.0</v>
      </c>
    </row>
    <row r="42" ht="15.75" customHeight="1">
      <c r="A42" s="30" t="s">
        <v>15</v>
      </c>
      <c r="B42" s="30" t="s">
        <v>159</v>
      </c>
      <c r="C42" s="30" t="s">
        <v>23</v>
      </c>
      <c r="D42" s="30" t="s">
        <v>160</v>
      </c>
      <c r="E42" s="30" t="s">
        <v>159</v>
      </c>
      <c r="F42" s="30" t="s">
        <v>126</v>
      </c>
      <c r="G42" s="5">
        <v>0.0</v>
      </c>
      <c r="H42" s="30">
        <v>0.0</v>
      </c>
      <c r="I42" s="6">
        <v>0.0</v>
      </c>
      <c r="J42" s="30">
        <v>1400.0</v>
      </c>
    </row>
    <row r="43" ht="15.75" customHeight="1">
      <c r="A43" s="30" t="s">
        <v>15</v>
      </c>
      <c r="B43" s="30" t="s">
        <v>72</v>
      </c>
      <c r="C43" s="30" t="s">
        <v>23</v>
      </c>
      <c r="D43" s="86" t="s">
        <v>73</v>
      </c>
      <c r="E43" s="30" t="s">
        <v>74</v>
      </c>
      <c r="F43" s="30" t="s">
        <v>19</v>
      </c>
      <c r="G43" s="5">
        <v>10626.0</v>
      </c>
      <c r="H43" s="30">
        <v>10626.0</v>
      </c>
      <c r="I43" s="6">
        <v>0.2</v>
      </c>
      <c r="J43" s="30">
        <v>1518.0</v>
      </c>
    </row>
    <row r="44" ht="15.75" customHeight="1">
      <c r="A44" s="30" t="s">
        <v>15</v>
      </c>
      <c r="B44" s="30" t="s">
        <v>161</v>
      </c>
      <c r="C44" s="30" t="s">
        <v>23</v>
      </c>
      <c r="D44" s="85" t="s">
        <v>162</v>
      </c>
      <c r="E44" s="30" t="s">
        <v>161</v>
      </c>
      <c r="F44" s="30" t="s">
        <v>126</v>
      </c>
      <c r="G44" s="5">
        <v>0.0</v>
      </c>
      <c r="H44" s="30">
        <v>0.0</v>
      </c>
      <c r="I44" s="6">
        <v>0.17</v>
      </c>
      <c r="J44" s="30">
        <v>1400.0</v>
      </c>
    </row>
    <row r="45" ht="15.75" customHeight="1">
      <c r="A45" s="30" t="s">
        <v>15</v>
      </c>
      <c r="B45" s="30" t="s">
        <v>75</v>
      </c>
      <c r="C45" s="30" t="s">
        <v>23</v>
      </c>
      <c r="D45" s="30" t="s">
        <v>76</v>
      </c>
      <c r="E45" s="30" t="s">
        <v>77</v>
      </c>
      <c r="F45" s="30" t="s">
        <v>19</v>
      </c>
      <c r="G45" s="5">
        <v>0.0</v>
      </c>
      <c r="H45" s="30">
        <v>0.0</v>
      </c>
      <c r="I45" s="6">
        <v>0.18</v>
      </c>
      <c r="J45" s="30">
        <v>1302.0</v>
      </c>
    </row>
    <row r="46" ht="15.75" customHeight="1">
      <c r="A46" s="30" t="s">
        <v>15</v>
      </c>
      <c r="B46" s="30" t="s">
        <v>78</v>
      </c>
      <c r="C46" s="30" t="s">
        <v>204</v>
      </c>
      <c r="D46" s="30" t="s">
        <v>79</v>
      </c>
      <c r="E46" s="30" t="s">
        <v>80</v>
      </c>
      <c r="F46" s="30" t="s">
        <v>19</v>
      </c>
      <c r="G46" s="5">
        <v>0.0</v>
      </c>
      <c r="H46" s="30">
        <v>0.0</v>
      </c>
      <c r="I46" s="6">
        <v>0.35</v>
      </c>
      <c r="J46" s="30">
        <v>720.0</v>
      </c>
    </row>
    <row r="47" ht="15.75" customHeight="1">
      <c r="A47" s="30" t="s">
        <v>15</v>
      </c>
      <c r="B47" s="30" t="s">
        <v>81</v>
      </c>
      <c r="C47" s="30" t="s">
        <v>204</v>
      </c>
      <c r="D47" s="30" t="s">
        <v>211</v>
      </c>
      <c r="E47" s="30" t="s">
        <v>83</v>
      </c>
      <c r="F47" s="30" t="s">
        <v>19</v>
      </c>
      <c r="G47" s="5">
        <v>0.0</v>
      </c>
      <c r="H47" s="30">
        <v>0.0</v>
      </c>
      <c r="I47" s="6">
        <v>0.15</v>
      </c>
      <c r="J47" s="30">
        <v>952.0</v>
      </c>
    </row>
    <row r="48" ht="15.75" customHeight="1">
      <c r="A48" s="30" t="s">
        <v>15</v>
      </c>
      <c r="B48" s="30" t="s">
        <v>84</v>
      </c>
      <c r="C48" s="30" t="s">
        <v>23</v>
      </c>
      <c r="D48" s="86" t="s">
        <v>85</v>
      </c>
      <c r="E48" s="30" t="s">
        <v>86</v>
      </c>
      <c r="F48" s="30" t="s">
        <v>19</v>
      </c>
      <c r="G48" s="5">
        <v>0.0</v>
      </c>
      <c r="H48" s="30">
        <v>20584.0</v>
      </c>
      <c r="I48" s="6">
        <v>0.1</v>
      </c>
      <c r="J48" s="30">
        <v>1155.0</v>
      </c>
    </row>
    <row r="49" ht="15.75" customHeight="1">
      <c r="A49" s="30" t="s">
        <v>15</v>
      </c>
      <c r="B49" s="30" t="s">
        <v>163</v>
      </c>
      <c r="C49" s="30" t="s">
        <v>23</v>
      </c>
      <c r="D49" s="30" t="s">
        <v>164</v>
      </c>
      <c r="E49" s="30" t="s">
        <v>163</v>
      </c>
      <c r="F49" s="30" t="s">
        <v>126</v>
      </c>
      <c r="G49" s="5">
        <v>0.0</v>
      </c>
      <c r="H49" s="30">
        <v>0.0</v>
      </c>
      <c r="I49" s="6">
        <v>0.15</v>
      </c>
      <c r="J49" s="30">
        <v>750.0</v>
      </c>
    </row>
    <row r="50" ht="15.75" customHeight="1">
      <c r="A50" s="30" t="s">
        <v>15</v>
      </c>
      <c r="B50" s="30" t="s">
        <v>165</v>
      </c>
      <c r="C50" s="30" t="s">
        <v>204</v>
      </c>
      <c r="D50" s="85" t="s">
        <v>166</v>
      </c>
      <c r="E50" s="30" t="s">
        <v>165</v>
      </c>
      <c r="F50" s="30" t="s">
        <v>126</v>
      </c>
      <c r="G50" s="5">
        <v>0.0</v>
      </c>
      <c r="H50" s="30">
        <v>0.0</v>
      </c>
      <c r="I50" s="6">
        <v>0.0</v>
      </c>
      <c r="J50" s="30">
        <v>1300.0</v>
      </c>
    </row>
    <row r="51" ht="15.75" customHeight="1">
      <c r="A51" s="30" t="s">
        <v>15</v>
      </c>
      <c r="B51" s="30" t="s">
        <v>87</v>
      </c>
      <c r="C51" s="30" t="s">
        <v>204</v>
      </c>
      <c r="D51" s="86" t="s">
        <v>88</v>
      </c>
      <c r="E51" s="30" t="s">
        <v>89</v>
      </c>
      <c r="F51" s="30" t="s">
        <v>19</v>
      </c>
      <c r="G51" s="5">
        <v>1454.0</v>
      </c>
      <c r="H51" s="30">
        <v>52274.0</v>
      </c>
      <c r="I51" s="6">
        <v>0.09</v>
      </c>
      <c r="J51" s="30">
        <v>1155.0</v>
      </c>
    </row>
    <row r="52" ht="15.75" customHeight="1">
      <c r="A52" s="30" t="s">
        <v>15</v>
      </c>
      <c r="B52" s="30" t="s">
        <v>91</v>
      </c>
      <c r="C52" s="30" t="s">
        <v>204</v>
      </c>
      <c r="D52" s="30" t="s">
        <v>92</v>
      </c>
      <c r="F52" s="30" t="s">
        <v>19</v>
      </c>
      <c r="G52" s="5">
        <v>0.0</v>
      </c>
      <c r="H52" s="30">
        <v>0.0</v>
      </c>
      <c r="I52" s="6">
        <v>0.11</v>
      </c>
    </row>
    <row r="53" ht="15.75" customHeight="1">
      <c r="A53" s="30" t="s">
        <v>15</v>
      </c>
      <c r="B53" s="30" t="s">
        <v>94</v>
      </c>
      <c r="C53" s="30" t="s">
        <v>204</v>
      </c>
      <c r="D53" s="30" t="s">
        <v>95</v>
      </c>
      <c r="E53" s="30" t="s">
        <v>96</v>
      </c>
      <c r="F53" s="30" t="s">
        <v>19</v>
      </c>
      <c r="G53" s="5">
        <v>0.0</v>
      </c>
      <c r="H53" s="30">
        <v>0.0</v>
      </c>
      <c r="I53" s="6">
        <v>0.2</v>
      </c>
      <c r="J53" s="30">
        <v>990.0</v>
      </c>
    </row>
    <row r="54" ht="15.75" customHeight="1">
      <c r="A54" s="30" t="s">
        <v>15</v>
      </c>
      <c r="B54" s="30" t="s">
        <v>167</v>
      </c>
      <c r="C54" s="30" t="s">
        <v>204</v>
      </c>
      <c r="D54" s="85" t="s">
        <v>168</v>
      </c>
      <c r="E54" s="30" t="s">
        <v>167</v>
      </c>
      <c r="F54" s="30" t="s">
        <v>126</v>
      </c>
      <c r="G54" s="5">
        <v>0.0</v>
      </c>
      <c r="H54" s="30">
        <v>39000.0</v>
      </c>
      <c r="I54" s="6">
        <v>0.15</v>
      </c>
      <c r="J54" s="30">
        <v>750.0</v>
      </c>
    </row>
    <row r="55" ht="15.75" customHeight="1">
      <c r="A55" s="30" t="s">
        <v>15</v>
      </c>
      <c r="B55" s="30" t="s">
        <v>169</v>
      </c>
      <c r="C55" s="30" t="s">
        <v>204</v>
      </c>
      <c r="D55" s="85" t="s">
        <v>170</v>
      </c>
      <c r="E55" s="30" t="s">
        <v>169</v>
      </c>
      <c r="F55" s="30" t="s">
        <v>126</v>
      </c>
      <c r="G55" s="5">
        <v>0.0</v>
      </c>
      <c r="H55" s="30">
        <v>0.0</v>
      </c>
      <c r="I55" s="6">
        <v>0.17</v>
      </c>
      <c r="J55" s="30">
        <v>750.0</v>
      </c>
    </row>
    <row r="56" ht="15.75" customHeight="1">
      <c r="A56" s="30" t="s">
        <v>15</v>
      </c>
      <c r="B56" s="30" t="s">
        <v>98</v>
      </c>
      <c r="C56" s="30" t="s">
        <v>204</v>
      </c>
      <c r="D56" s="30" t="s">
        <v>99</v>
      </c>
      <c r="E56" s="30" t="s">
        <v>100</v>
      </c>
      <c r="F56" s="30" t="s">
        <v>19</v>
      </c>
      <c r="G56" s="5">
        <v>0.0</v>
      </c>
      <c r="H56" s="30">
        <v>0.0</v>
      </c>
      <c r="I56" s="6">
        <v>0.16</v>
      </c>
      <c r="J56" s="30">
        <v>938.0</v>
      </c>
    </row>
    <row r="57" ht="15.75" customHeight="1">
      <c r="A57" s="30" t="s">
        <v>15</v>
      </c>
      <c r="B57" s="30" t="s">
        <v>101</v>
      </c>
      <c r="C57" s="30" t="s">
        <v>204</v>
      </c>
      <c r="D57" s="30" t="s">
        <v>102</v>
      </c>
      <c r="E57" s="30" t="s">
        <v>103</v>
      </c>
      <c r="F57" s="30" t="s">
        <v>19</v>
      </c>
      <c r="G57" s="5">
        <v>0.0</v>
      </c>
      <c r="H57" s="30">
        <v>0.0</v>
      </c>
      <c r="I57" s="6">
        <v>0.16</v>
      </c>
      <c r="J57" s="30">
        <v>924.0</v>
      </c>
    </row>
    <row r="58" ht="15.75" customHeight="1">
      <c r="A58" s="30" t="s">
        <v>15</v>
      </c>
      <c r="B58" s="30" t="s">
        <v>104</v>
      </c>
      <c r="C58" s="30" t="s">
        <v>204</v>
      </c>
      <c r="D58" s="30" t="s">
        <v>105</v>
      </c>
      <c r="E58" s="30" t="s">
        <v>106</v>
      </c>
      <c r="F58" s="30" t="s">
        <v>19</v>
      </c>
      <c r="G58" s="5">
        <v>0.0</v>
      </c>
      <c r="H58" s="30">
        <v>0.0</v>
      </c>
      <c r="I58" s="6">
        <v>0.14</v>
      </c>
      <c r="J58" s="30">
        <v>1176.0</v>
      </c>
    </row>
    <row r="59" ht="15.75" customHeight="1">
      <c r="A59" s="30" t="s">
        <v>15</v>
      </c>
      <c r="B59" s="30" t="s">
        <v>107</v>
      </c>
      <c r="C59" s="30" t="s">
        <v>204</v>
      </c>
      <c r="D59" s="86" t="s">
        <v>108</v>
      </c>
      <c r="E59" s="30" t="s">
        <v>109</v>
      </c>
      <c r="F59" s="30" t="s">
        <v>19</v>
      </c>
      <c r="G59" s="5">
        <v>28224.0</v>
      </c>
      <c r="H59" s="30">
        <v>153768.0</v>
      </c>
      <c r="I59" s="6">
        <v>0.11</v>
      </c>
      <c r="J59" s="30">
        <v>1176.0</v>
      </c>
    </row>
    <row r="60" ht="15.75" customHeight="1">
      <c r="A60" s="30" t="s">
        <v>15</v>
      </c>
      <c r="B60" s="30" t="s">
        <v>110</v>
      </c>
      <c r="C60" s="30" t="s">
        <v>204</v>
      </c>
      <c r="D60" s="86" t="s">
        <v>111</v>
      </c>
      <c r="E60" s="30" t="s">
        <v>112</v>
      </c>
      <c r="F60" s="30" t="s">
        <v>19</v>
      </c>
      <c r="G60" s="5">
        <v>0.0</v>
      </c>
      <c r="H60" s="30">
        <v>1134.0</v>
      </c>
      <c r="I60" s="6">
        <v>0.33</v>
      </c>
      <c r="J60" s="30">
        <v>567.0</v>
      </c>
    </row>
    <row r="61" ht="15.75" customHeight="1">
      <c r="A61" s="30" t="s">
        <v>15</v>
      </c>
      <c r="B61" s="30" t="s">
        <v>171</v>
      </c>
      <c r="C61" s="30" t="s">
        <v>204</v>
      </c>
      <c r="D61" s="85" t="s">
        <v>172</v>
      </c>
      <c r="E61" s="30" t="s">
        <v>173</v>
      </c>
      <c r="F61" s="30" t="s">
        <v>126</v>
      </c>
      <c r="G61" s="5">
        <v>0.0</v>
      </c>
      <c r="H61" s="30">
        <v>4705.0</v>
      </c>
      <c r="I61" s="6">
        <v>0.12</v>
      </c>
      <c r="J61" s="30">
        <v>770.0</v>
      </c>
    </row>
    <row r="62" ht="15.75" customHeight="1">
      <c r="A62" s="30" t="s">
        <v>15</v>
      </c>
      <c r="B62" s="30" t="s">
        <v>174</v>
      </c>
      <c r="C62" s="30" t="s">
        <v>204</v>
      </c>
      <c r="D62" s="85" t="s">
        <v>175</v>
      </c>
      <c r="E62" s="30" t="s">
        <v>215</v>
      </c>
      <c r="F62" s="30" t="s">
        <v>126</v>
      </c>
      <c r="G62" s="5">
        <v>11000.0</v>
      </c>
      <c r="H62" s="30">
        <v>20000.0</v>
      </c>
      <c r="I62" s="6">
        <v>0.31</v>
      </c>
      <c r="J62" s="30">
        <v>500.0</v>
      </c>
    </row>
    <row r="63" ht="15.75" customHeight="1">
      <c r="A63" s="30" t="s">
        <v>15</v>
      </c>
      <c r="B63" s="30" t="s">
        <v>113</v>
      </c>
      <c r="C63" s="30" t="s">
        <v>204</v>
      </c>
      <c r="D63" s="30" t="s">
        <v>114</v>
      </c>
      <c r="E63" s="30" t="s">
        <v>115</v>
      </c>
      <c r="F63" s="30" t="s">
        <v>19</v>
      </c>
      <c r="G63" s="5">
        <v>0.0</v>
      </c>
      <c r="H63" s="30">
        <v>0.0</v>
      </c>
      <c r="I63" s="6">
        <v>0.26</v>
      </c>
      <c r="J63" s="30">
        <v>765.0</v>
      </c>
    </row>
    <row r="64" ht="15.75" customHeight="1">
      <c r="A64" s="30" t="s">
        <v>15</v>
      </c>
      <c r="B64" s="30" t="s">
        <v>116</v>
      </c>
      <c r="C64" s="30" t="s">
        <v>204</v>
      </c>
      <c r="D64" s="86" t="s">
        <v>117</v>
      </c>
      <c r="E64" s="30" t="s">
        <v>118</v>
      </c>
      <c r="F64" s="30" t="s">
        <v>19</v>
      </c>
      <c r="G64" s="5">
        <v>3465.0</v>
      </c>
      <c r="H64" s="30">
        <v>3465.0</v>
      </c>
      <c r="I64" s="6">
        <v>0.0</v>
      </c>
      <c r="J64" s="30">
        <v>1155.0</v>
      </c>
    </row>
    <row r="65" ht="15.75" customHeight="1">
      <c r="A65" s="30" t="s">
        <v>15</v>
      </c>
      <c r="B65" s="30" t="s">
        <v>177</v>
      </c>
      <c r="C65" s="30" t="s">
        <v>204</v>
      </c>
      <c r="D65" s="85" t="s">
        <v>178</v>
      </c>
      <c r="E65" s="30" t="s">
        <v>177</v>
      </c>
      <c r="F65" s="30" t="s">
        <v>126</v>
      </c>
      <c r="G65" s="5">
        <v>79300.0</v>
      </c>
      <c r="H65" s="30">
        <v>137800.0</v>
      </c>
      <c r="I65" s="6">
        <v>0.1</v>
      </c>
      <c r="J65" s="30">
        <v>1300.0</v>
      </c>
    </row>
    <row r="66" ht="15.75" customHeight="1">
      <c r="A66" s="30" t="s">
        <v>15</v>
      </c>
      <c r="B66" s="30" t="s">
        <v>119</v>
      </c>
      <c r="C66" s="30" t="s">
        <v>23</v>
      </c>
      <c r="D66" s="30" t="s">
        <v>120</v>
      </c>
      <c r="E66" s="30">
        <v>4.10060005E8</v>
      </c>
      <c r="F66" s="30" t="s">
        <v>19</v>
      </c>
      <c r="G66" s="5">
        <v>0.0</v>
      </c>
      <c r="H66" s="30">
        <v>0.0</v>
      </c>
      <c r="I66" s="6">
        <v>0.21</v>
      </c>
      <c r="J66" s="30">
        <v>868.0</v>
      </c>
    </row>
    <row r="67" ht="15.75" customHeight="1">
      <c r="A67" s="30" t="s">
        <v>15</v>
      </c>
      <c r="B67" s="30" t="s">
        <v>179</v>
      </c>
      <c r="C67" s="30" t="s">
        <v>204</v>
      </c>
      <c r="D67" s="30" t="s">
        <v>180</v>
      </c>
      <c r="E67" s="30" t="s">
        <v>179</v>
      </c>
      <c r="F67" s="30" t="s">
        <v>126</v>
      </c>
      <c r="G67" s="5">
        <v>0.0</v>
      </c>
      <c r="H67" s="30">
        <v>0.0</v>
      </c>
      <c r="I67" s="6">
        <v>0.16</v>
      </c>
      <c r="J67" s="30">
        <v>800.0</v>
      </c>
    </row>
    <row r="68" ht="15.75" customHeight="1">
      <c r="A68" s="30" t="s">
        <v>15</v>
      </c>
      <c r="B68" s="30" t="s">
        <v>121</v>
      </c>
      <c r="C68" s="30" t="s">
        <v>204</v>
      </c>
      <c r="D68" s="86" t="s">
        <v>122</v>
      </c>
      <c r="E68" s="30" t="s">
        <v>123</v>
      </c>
      <c r="F68" s="30" t="s">
        <v>19</v>
      </c>
      <c r="G68" s="5">
        <v>0.0</v>
      </c>
      <c r="H68" s="30">
        <v>10650.0</v>
      </c>
      <c r="I68" s="6">
        <v>0.18</v>
      </c>
      <c r="J68" s="30">
        <v>660.0</v>
      </c>
    </row>
    <row r="69" ht="15.75" customHeight="1">
      <c r="A69" s="30" t="s">
        <v>15</v>
      </c>
      <c r="B69" s="30" t="s">
        <v>181</v>
      </c>
      <c r="C69" s="30" t="s">
        <v>204</v>
      </c>
      <c r="D69" s="30" t="s">
        <v>182</v>
      </c>
      <c r="E69" s="30" t="s">
        <v>181</v>
      </c>
      <c r="F69" s="30" t="s">
        <v>126</v>
      </c>
      <c r="G69" s="5">
        <v>0.0</v>
      </c>
      <c r="H69" s="30">
        <v>0.0</v>
      </c>
      <c r="I69" s="6">
        <v>0.14</v>
      </c>
      <c r="J69" s="30">
        <v>1300.0</v>
      </c>
    </row>
    <row r="70" ht="15.75" customHeight="1">
      <c r="G70" s="5"/>
      <c r="I70" s="6"/>
    </row>
    <row r="71" ht="15.75" customHeight="1">
      <c r="G71" s="5"/>
      <c r="I71" s="6"/>
    </row>
    <row r="72" ht="15.75" customHeight="1">
      <c r="G72" s="5"/>
      <c r="I72" s="6"/>
    </row>
    <row r="73" ht="15.75" customHeight="1">
      <c r="G73" s="5"/>
      <c r="I73" s="6"/>
    </row>
    <row r="74" ht="15.75" customHeight="1">
      <c r="G74" s="5"/>
      <c r="I74" s="6"/>
    </row>
    <row r="75" ht="15.75" customHeight="1">
      <c r="G75" s="5"/>
      <c r="I75" s="6"/>
    </row>
    <row r="76" ht="15.75" customHeight="1">
      <c r="G76" s="5"/>
      <c r="I76" s="6"/>
    </row>
    <row r="77" ht="15.75" customHeight="1">
      <c r="G77" s="5"/>
      <c r="I77" s="6"/>
    </row>
    <row r="78" ht="15.75" customHeight="1">
      <c r="G78" s="5"/>
      <c r="I78" s="6"/>
    </row>
    <row r="79" ht="15.75" customHeight="1">
      <c r="G79" s="5"/>
      <c r="I79" s="6"/>
    </row>
    <row r="80" ht="15.75" customHeight="1">
      <c r="G80" s="5"/>
      <c r="I80" s="6"/>
    </row>
    <row r="81" ht="15.75" customHeight="1">
      <c r="G81" s="5"/>
      <c r="I81" s="6"/>
    </row>
    <row r="82" ht="15.75" customHeight="1">
      <c r="G82" s="5"/>
      <c r="I82" s="6"/>
    </row>
    <row r="83" ht="15.75" customHeight="1">
      <c r="G83" s="5"/>
      <c r="I83" s="6"/>
    </row>
    <row r="84" ht="15.75" customHeight="1">
      <c r="G84" s="5"/>
      <c r="I84" s="6"/>
    </row>
    <row r="85" ht="15.75" customHeight="1">
      <c r="G85" s="5"/>
      <c r="I85" s="6"/>
    </row>
    <row r="86" ht="15.75" customHeight="1">
      <c r="G86" s="5"/>
      <c r="I86" s="6"/>
    </row>
    <row r="87" ht="15.75" customHeight="1">
      <c r="G87" s="5"/>
      <c r="I87" s="6"/>
    </row>
    <row r="88" ht="15.75" customHeight="1">
      <c r="G88" s="5"/>
      <c r="I88" s="6"/>
    </row>
    <row r="89" ht="15.75" customHeight="1">
      <c r="G89" s="5"/>
      <c r="I89" s="6"/>
    </row>
    <row r="90" ht="15.75" customHeight="1">
      <c r="G90" s="5"/>
      <c r="I90" s="6"/>
    </row>
    <row r="91" ht="15.75" customHeight="1">
      <c r="G91" s="5"/>
      <c r="I91" s="6"/>
    </row>
    <row r="92" ht="15.75" customHeight="1">
      <c r="G92" s="5"/>
      <c r="I92" s="6"/>
    </row>
    <row r="93" ht="15.75" customHeight="1">
      <c r="G93" s="5"/>
      <c r="I93" s="6"/>
    </row>
    <row r="94" ht="15.75" customHeight="1">
      <c r="G94" s="5"/>
      <c r="I94" s="6"/>
    </row>
    <row r="95" ht="15.75" customHeight="1">
      <c r="G95" s="5"/>
      <c r="I95" s="6"/>
    </row>
    <row r="96" ht="15.75" customHeight="1">
      <c r="G96" s="5"/>
      <c r="I96" s="6"/>
    </row>
    <row r="97" ht="15.75" customHeight="1">
      <c r="G97" s="5"/>
      <c r="I97" s="6"/>
    </row>
    <row r="98" ht="15.75" customHeight="1">
      <c r="G98" s="5"/>
      <c r="I98" s="6"/>
    </row>
    <row r="99" ht="15.75" customHeight="1">
      <c r="G99" s="5"/>
      <c r="I99" s="6"/>
    </row>
    <row r="100" ht="15.75" customHeight="1">
      <c r="G100" s="5"/>
      <c r="I100" s="6"/>
    </row>
    <row r="101" ht="15.75" customHeight="1">
      <c r="G101" s="5"/>
      <c r="I101" s="6"/>
    </row>
    <row r="102" ht="15.75" customHeight="1">
      <c r="G102" s="5"/>
      <c r="I102" s="6"/>
    </row>
    <row r="103" ht="15.75" customHeight="1">
      <c r="G103" s="5"/>
      <c r="I103" s="6"/>
    </row>
    <row r="104" ht="15.75" customHeight="1">
      <c r="G104" s="5"/>
      <c r="I104" s="6"/>
    </row>
    <row r="105" ht="15.75" customHeight="1">
      <c r="G105" s="5"/>
      <c r="I105" s="6"/>
    </row>
    <row r="106" ht="15.75" customHeight="1">
      <c r="G106" s="5"/>
      <c r="I106" s="6"/>
    </row>
    <row r="107" ht="15.75" customHeight="1">
      <c r="G107" s="5"/>
      <c r="I107" s="6"/>
    </row>
    <row r="108" ht="15.75" customHeight="1">
      <c r="G108" s="5"/>
      <c r="I108" s="6"/>
    </row>
    <row r="109" ht="15.75" customHeight="1">
      <c r="G109" s="5"/>
      <c r="I109" s="6"/>
    </row>
    <row r="110" ht="15.75" customHeight="1">
      <c r="G110" s="5"/>
      <c r="I110" s="6"/>
    </row>
    <row r="111" ht="15.75" customHeight="1">
      <c r="G111" s="5"/>
      <c r="I111" s="6"/>
    </row>
    <row r="112" ht="15.75" customHeight="1">
      <c r="G112" s="5"/>
      <c r="I112" s="6"/>
    </row>
    <row r="113" ht="15.75" customHeight="1">
      <c r="G113" s="5"/>
      <c r="I113" s="6"/>
    </row>
    <row r="114" ht="15.75" customHeight="1">
      <c r="G114" s="5"/>
      <c r="I114" s="6"/>
    </row>
    <row r="115" ht="15.75" customHeight="1">
      <c r="G115" s="5"/>
      <c r="I115" s="6"/>
    </row>
    <row r="116" ht="15.75" customHeight="1">
      <c r="G116" s="5"/>
      <c r="I116" s="6"/>
    </row>
    <row r="117" ht="15.75" customHeight="1">
      <c r="G117" s="5"/>
      <c r="I117" s="6"/>
    </row>
    <row r="118" ht="15.75" customHeight="1">
      <c r="G118" s="5"/>
      <c r="I118" s="6"/>
    </row>
    <row r="119" ht="15.75" customHeight="1">
      <c r="G119" s="5"/>
      <c r="I119" s="6"/>
    </row>
    <row r="120" ht="15.75" customHeight="1">
      <c r="G120" s="5"/>
      <c r="I120" s="6"/>
    </row>
    <row r="121" ht="15.75" customHeight="1">
      <c r="G121" s="5"/>
      <c r="I121" s="6"/>
    </row>
    <row r="122" ht="15.75" customHeight="1">
      <c r="G122" s="5"/>
      <c r="I122" s="6"/>
    </row>
    <row r="123" ht="15.75" customHeight="1">
      <c r="G123" s="5"/>
      <c r="I123" s="6"/>
    </row>
    <row r="124" ht="15.75" customHeight="1">
      <c r="G124" s="5"/>
      <c r="I124" s="6"/>
    </row>
    <row r="125" ht="15.75" customHeight="1">
      <c r="G125" s="5"/>
      <c r="I125" s="6"/>
    </row>
    <row r="126" ht="15.75" customHeight="1">
      <c r="G126" s="5"/>
      <c r="I126" s="6"/>
    </row>
    <row r="127" ht="15.75" customHeight="1">
      <c r="G127" s="5"/>
      <c r="I127" s="6"/>
    </row>
    <row r="128" ht="15.75" customHeight="1">
      <c r="G128" s="5"/>
      <c r="I128" s="6"/>
    </row>
    <row r="129" ht="15.75" customHeight="1">
      <c r="G129" s="5"/>
      <c r="I129" s="6"/>
    </row>
    <row r="130" ht="15.75" customHeight="1">
      <c r="G130" s="5"/>
      <c r="I130" s="6"/>
    </row>
    <row r="131" ht="15.75" customHeight="1">
      <c r="G131" s="5"/>
      <c r="I131" s="6"/>
    </row>
    <row r="132" ht="15.75" customHeight="1">
      <c r="G132" s="5"/>
      <c r="I132" s="6"/>
    </row>
    <row r="133" ht="15.75" customHeight="1">
      <c r="G133" s="5"/>
      <c r="I133" s="6"/>
    </row>
    <row r="134" ht="15.75" customHeight="1">
      <c r="G134" s="5"/>
      <c r="I134" s="6"/>
    </row>
    <row r="135" ht="15.75" customHeight="1">
      <c r="G135" s="5"/>
      <c r="I135" s="6"/>
    </row>
    <row r="136" ht="15.75" customHeight="1">
      <c r="G136" s="5"/>
      <c r="I136" s="6"/>
    </row>
    <row r="137" ht="15.75" customHeight="1">
      <c r="G137" s="5"/>
      <c r="I137" s="6"/>
    </row>
    <row r="138" ht="15.75" customHeight="1">
      <c r="G138" s="5"/>
      <c r="I138" s="6"/>
    </row>
    <row r="139" ht="15.75" customHeight="1">
      <c r="G139" s="5"/>
      <c r="I139" s="6"/>
    </row>
    <row r="140" ht="15.75" customHeight="1">
      <c r="G140" s="5"/>
      <c r="I140" s="6"/>
    </row>
    <row r="141" ht="15.75" customHeight="1">
      <c r="G141" s="5"/>
      <c r="I141" s="6"/>
    </row>
    <row r="142" ht="15.75" customHeight="1">
      <c r="G142" s="5"/>
      <c r="I142" s="6"/>
    </row>
    <row r="143" ht="15.75" customHeight="1">
      <c r="G143" s="5"/>
      <c r="I143" s="6"/>
    </row>
    <row r="144" ht="15.75" customHeight="1">
      <c r="G144" s="5"/>
      <c r="I144" s="6"/>
    </row>
    <row r="145" ht="15.75" customHeight="1">
      <c r="G145" s="5"/>
      <c r="I145" s="6"/>
    </row>
    <row r="146" ht="15.75" customHeight="1">
      <c r="G146" s="5"/>
      <c r="I146" s="6"/>
    </row>
    <row r="147" ht="15.75" customHeight="1">
      <c r="G147" s="5"/>
      <c r="I147" s="6"/>
    </row>
    <row r="148" ht="15.75" customHeight="1">
      <c r="G148" s="5"/>
      <c r="I148" s="6"/>
    </row>
    <row r="149" ht="15.75" customHeight="1">
      <c r="G149" s="5"/>
      <c r="I149" s="6"/>
    </row>
    <row r="150" ht="15.75" customHeight="1">
      <c r="G150" s="5"/>
      <c r="I150" s="6"/>
    </row>
    <row r="151" ht="15.75" customHeight="1">
      <c r="G151" s="5"/>
      <c r="I151" s="6"/>
    </row>
    <row r="152" ht="15.75" customHeight="1">
      <c r="G152" s="5"/>
      <c r="I152" s="6"/>
    </row>
    <row r="153" ht="15.75" customHeight="1">
      <c r="G153" s="5"/>
      <c r="I153" s="6"/>
    </row>
    <row r="154" ht="15.75" customHeight="1">
      <c r="G154" s="5"/>
      <c r="I154" s="6"/>
    </row>
    <row r="155" ht="15.75" customHeight="1">
      <c r="G155" s="5"/>
      <c r="I155" s="6"/>
    </row>
    <row r="156" ht="15.75" customHeight="1">
      <c r="G156" s="5"/>
      <c r="I156" s="6"/>
    </row>
    <row r="157" ht="15.75" customHeight="1">
      <c r="G157" s="5"/>
      <c r="I157" s="6"/>
    </row>
    <row r="158" ht="15.75" customHeight="1">
      <c r="G158" s="5"/>
      <c r="I158" s="6"/>
    </row>
    <row r="159" ht="15.75" customHeight="1">
      <c r="G159" s="5"/>
      <c r="I159" s="6"/>
    </row>
    <row r="160" ht="15.75" customHeight="1">
      <c r="G160" s="5"/>
      <c r="I160" s="6"/>
    </row>
    <row r="161" ht="15.75" customHeight="1">
      <c r="G161" s="5"/>
      <c r="I161" s="6"/>
    </row>
    <row r="162" ht="15.75" customHeight="1">
      <c r="G162" s="5"/>
      <c r="I162" s="6"/>
    </row>
    <row r="163" ht="15.75" customHeight="1">
      <c r="G163" s="5"/>
      <c r="I163" s="6"/>
    </row>
    <row r="164" ht="15.75" customHeight="1">
      <c r="G164" s="5"/>
      <c r="I164" s="6"/>
    </row>
    <row r="165" ht="15.75" customHeight="1">
      <c r="G165" s="5"/>
      <c r="I165" s="6"/>
    </row>
    <row r="166" ht="15.75" customHeight="1">
      <c r="G166" s="5"/>
      <c r="I166" s="6"/>
    </row>
    <row r="167" ht="15.75" customHeight="1">
      <c r="G167" s="5"/>
      <c r="I167" s="6"/>
    </row>
    <row r="168" ht="15.75" customHeight="1">
      <c r="G168" s="5"/>
      <c r="I168" s="6"/>
    </row>
    <row r="169" ht="15.75" customHeight="1">
      <c r="G169" s="5"/>
      <c r="I169" s="6"/>
    </row>
    <row r="170" ht="15.75" customHeight="1">
      <c r="G170" s="5"/>
      <c r="I170" s="6"/>
    </row>
    <row r="171" ht="15.75" customHeight="1">
      <c r="G171" s="5"/>
      <c r="I171" s="6"/>
    </row>
    <row r="172" ht="15.75" customHeight="1">
      <c r="G172" s="5"/>
      <c r="I172" s="6"/>
    </row>
    <row r="173" ht="15.75" customHeight="1">
      <c r="G173" s="5"/>
      <c r="I173" s="6"/>
    </row>
    <row r="174" ht="15.75" customHeight="1">
      <c r="G174" s="5"/>
      <c r="I174" s="6"/>
    </row>
    <row r="175" ht="15.75" customHeight="1">
      <c r="G175" s="5"/>
      <c r="I175" s="6"/>
    </row>
    <row r="176" ht="15.75" customHeight="1">
      <c r="G176" s="5"/>
      <c r="I176" s="6"/>
    </row>
    <row r="177" ht="15.75" customHeight="1">
      <c r="G177" s="5"/>
      <c r="I177" s="6"/>
    </row>
    <row r="178" ht="15.75" customHeight="1">
      <c r="G178" s="5"/>
      <c r="I178" s="6"/>
    </row>
    <row r="179" ht="15.75" customHeight="1">
      <c r="G179" s="5"/>
      <c r="I179" s="6"/>
    </row>
    <row r="180" ht="15.75" customHeight="1">
      <c r="G180" s="5"/>
      <c r="I180" s="6"/>
    </row>
    <row r="181" ht="15.75" customHeight="1">
      <c r="G181" s="5"/>
      <c r="I181" s="6"/>
    </row>
    <row r="182" ht="15.75" customHeight="1">
      <c r="G182" s="5"/>
      <c r="I182" s="6"/>
    </row>
    <row r="183" ht="15.75" customHeight="1">
      <c r="G183" s="5"/>
      <c r="I183" s="6"/>
    </row>
    <row r="184" ht="15.75" customHeight="1">
      <c r="G184" s="5"/>
      <c r="I184" s="6"/>
    </row>
    <row r="185" ht="15.75" customHeight="1">
      <c r="G185" s="5"/>
      <c r="I185" s="6"/>
    </row>
    <row r="186" ht="15.75" customHeight="1">
      <c r="G186" s="5"/>
      <c r="I186" s="6"/>
    </row>
    <row r="187" ht="15.75" customHeight="1">
      <c r="G187" s="5"/>
      <c r="I187" s="6"/>
    </row>
    <row r="188" ht="15.75" customHeight="1">
      <c r="G188" s="5"/>
      <c r="I188" s="6"/>
    </row>
    <row r="189" ht="15.75" customHeight="1">
      <c r="G189" s="5"/>
      <c r="I189" s="6"/>
    </row>
    <row r="190" ht="15.75" customHeight="1">
      <c r="G190" s="5"/>
      <c r="I190" s="6"/>
    </row>
    <row r="191" ht="15.75" customHeight="1">
      <c r="G191" s="5"/>
      <c r="I191" s="6"/>
    </row>
    <row r="192" ht="15.75" customHeight="1">
      <c r="G192" s="5"/>
      <c r="I192" s="6"/>
    </row>
    <row r="193" ht="15.75" customHeight="1">
      <c r="G193" s="5"/>
      <c r="I193" s="6"/>
    </row>
    <row r="194" ht="15.75" customHeight="1">
      <c r="G194" s="5"/>
      <c r="I194" s="6"/>
    </row>
    <row r="195" ht="15.75" customHeight="1">
      <c r="G195" s="5"/>
      <c r="I195" s="6"/>
    </row>
    <row r="196" ht="15.75" customHeight="1">
      <c r="G196" s="5"/>
      <c r="I196" s="6"/>
    </row>
    <row r="197" ht="15.75" customHeight="1">
      <c r="G197" s="5"/>
      <c r="I197" s="6"/>
    </row>
    <row r="198" ht="15.75" customHeight="1">
      <c r="G198" s="5"/>
      <c r="I198" s="6"/>
    </row>
    <row r="199" ht="15.75" customHeight="1">
      <c r="G199" s="5"/>
      <c r="I199" s="6"/>
    </row>
    <row r="200" ht="15.75" customHeight="1">
      <c r="G200" s="5"/>
      <c r="I200" s="6"/>
    </row>
    <row r="201" ht="15.75" customHeight="1">
      <c r="G201" s="5"/>
      <c r="I201" s="6"/>
    </row>
    <row r="202" ht="15.75" customHeight="1">
      <c r="G202" s="5"/>
      <c r="I202" s="6"/>
    </row>
    <row r="203" ht="15.75" customHeight="1">
      <c r="G203" s="5"/>
      <c r="I203" s="6"/>
    </row>
    <row r="204" ht="15.75" customHeight="1">
      <c r="G204" s="5"/>
      <c r="I204" s="6"/>
    </row>
    <row r="205" ht="15.75" customHeight="1">
      <c r="G205" s="5"/>
      <c r="I205" s="6"/>
    </row>
    <row r="206" ht="15.75" customHeight="1">
      <c r="G206" s="5"/>
      <c r="I206" s="6"/>
    </row>
    <row r="207" ht="15.75" customHeight="1">
      <c r="G207" s="5"/>
      <c r="I207" s="6"/>
    </row>
    <row r="208" ht="15.75" customHeight="1">
      <c r="G208" s="5"/>
      <c r="I208" s="6"/>
    </row>
    <row r="209" ht="15.75" customHeight="1">
      <c r="G209" s="5"/>
      <c r="I209" s="6"/>
    </row>
    <row r="210" ht="15.75" customHeight="1">
      <c r="G210" s="5"/>
      <c r="I210" s="6"/>
    </row>
    <row r="211" ht="15.75" customHeight="1">
      <c r="G211" s="5"/>
      <c r="I211" s="6"/>
    </row>
    <row r="212" ht="15.75" customHeight="1">
      <c r="G212" s="5"/>
      <c r="I212" s="6"/>
    </row>
    <row r="213" ht="15.75" customHeight="1">
      <c r="G213" s="5"/>
      <c r="I213" s="6"/>
    </row>
    <row r="214" ht="15.75" customHeight="1">
      <c r="G214" s="5"/>
      <c r="I214" s="6"/>
    </row>
    <row r="215" ht="15.75" customHeight="1">
      <c r="G215" s="5"/>
      <c r="I215" s="6"/>
    </row>
    <row r="216" ht="15.75" customHeight="1">
      <c r="G216" s="5"/>
      <c r="I216" s="6"/>
    </row>
    <row r="217" ht="15.75" customHeight="1">
      <c r="G217" s="5"/>
      <c r="I217" s="6"/>
    </row>
    <row r="218" ht="15.75" customHeight="1">
      <c r="G218" s="5"/>
      <c r="I218" s="6"/>
    </row>
    <row r="219" ht="15.75" customHeight="1">
      <c r="G219" s="5"/>
      <c r="I219" s="6"/>
    </row>
    <row r="220" ht="15.75" customHeight="1">
      <c r="G220" s="5"/>
      <c r="I220" s="6"/>
    </row>
    <row r="221" ht="15.75" customHeight="1">
      <c r="G221" s="5"/>
      <c r="I221" s="6"/>
    </row>
    <row r="222" ht="15.75" customHeight="1">
      <c r="G222" s="5"/>
      <c r="I222" s="6"/>
    </row>
    <row r="223" ht="15.75" customHeight="1">
      <c r="G223" s="5"/>
      <c r="I223" s="6"/>
    </row>
    <row r="224" ht="15.75" customHeight="1">
      <c r="G224" s="5"/>
      <c r="I224" s="6"/>
    </row>
    <row r="225" ht="15.75" customHeight="1">
      <c r="G225" s="5"/>
      <c r="I225" s="6"/>
    </row>
    <row r="226" ht="15.75" customHeight="1">
      <c r="G226" s="5"/>
      <c r="I226" s="6"/>
    </row>
    <row r="227" ht="15.75" customHeight="1">
      <c r="G227" s="5"/>
      <c r="I227" s="6"/>
    </row>
    <row r="228" ht="15.75" customHeight="1">
      <c r="G228" s="5"/>
      <c r="I228" s="6"/>
    </row>
    <row r="229" ht="15.75" customHeight="1">
      <c r="G229" s="5"/>
      <c r="I229" s="6"/>
    </row>
    <row r="230" ht="15.75" customHeight="1">
      <c r="G230" s="5"/>
      <c r="I230" s="6"/>
    </row>
    <row r="231" ht="15.75" customHeight="1">
      <c r="G231" s="5"/>
      <c r="I231" s="6"/>
    </row>
    <row r="232" ht="15.75" customHeight="1">
      <c r="G232" s="5"/>
      <c r="I232" s="6"/>
    </row>
    <row r="233" ht="15.75" customHeight="1">
      <c r="G233" s="5"/>
      <c r="I233" s="6"/>
    </row>
    <row r="234" ht="15.75" customHeight="1">
      <c r="G234" s="5"/>
      <c r="I234" s="6"/>
    </row>
    <row r="235" ht="15.75" customHeight="1">
      <c r="G235" s="5"/>
      <c r="I235" s="6"/>
    </row>
    <row r="236" ht="15.75" customHeight="1">
      <c r="G236" s="5"/>
      <c r="I236" s="6"/>
    </row>
    <row r="237" ht="15.75" customHeight="1">
      <c r="G237" s="5"/>
      <c r="I237" s="6"/>
    </row>
    <row r="238" ht="15.75" customHeight="1">
      <c r="G238" s="5"/>
      <c r="I238" s="6"/>
    </row>
    <row r="239" ht="15.75" customHeight="1">
      <c r="G239" s="5"/>
      <c r="I239" s="6"/>
    </row>
    <row r="240" ht="15.75" customHeight="1">
      <c r="G240" s="5"/>
      <c r="I240" s="6"/>
    </row>
    <row r="241" ht="15.75" customHeight="1">
      <c r="G241" s="5"/>
      <c r="I241" s="6"/>
    </row>
    <row r="242" ht="15.75" customHeight="1">
      <c r="G242" s="5"/>
      <c r="I242" s="6"/>
    </row>
    <row r="243" ht="15.75" customHeight="1">
      <c r="G243" s="5"/>
      <c r="I243" s="6"/>
    </row>
    <row r="244" ht="15.75" customHeight="1">
      <c r="G244" s="5"/>
      <c r="I244" s="6"/>
    </row>
    <row r="245" ht="15.75" customHeight="1">
      <c r="G245" s="5"/>
      <c r="I245" s="6"/>
    </row>
    <row r="246" ht="15.75" customHeight="1">
      <c r="G246" s="5"/>
      <c r="I246" s="6"/>
    </row>
    <row r="247" ht="15.75" customHeight="1">
      <c r="G247" s="5"/>
      <c r="I247" s="6"/>
    </row>
    <row r="248" ht="15.75" customHeight="1">
      <c r="G248" s="5"/>
      <c r="I248" s="6"/>
    </row>
    <row r="249" ht="15.75" customHeight="1">
      <c r="G249" s="5"/>
      <c r="I249" s="6"/>
    </row>
    <row r="250" ht="15.75" customHeight="1">
      <c r="G250" s="5"/>
      <c r="I250" s="6"/>
    </row>
    <row r="251" ht="15.75" customHeight="1">
      <c r="G251" s="5"/>
      <c r="I251" s="6"/>
    </row>
    <row r="252" ht="15.75" customHeight="1">
      <c r="G252" s="5"/>
      <c r="I252" s="6"/>
    </row>
    <row r="253" ht="15.75" customHeight="1">
      <c r="G253" s="5"/>
      <c r="I253" s="6"/>
    </row>
    <row r="254" ht="15.75" customHeight="1">
      <c r="G254" s="5"/>
      <c r="I254" s="6"/>
    </row>
    <row r="255" ht="15.75" customHeight="1">
      <c r="G255" s="5"/>
      <c r="I255" s="6"/>
    </row>
    <row r="256" ht="15.75" customHeight="1">
      <c r="G256" s="5"/>
      <c r="I256" s="6"/>
    </row>
    <row r="257" ht="15.75" customHeight="1">
      <c r="G257" s="5"/>
      <c r="I257" s="6"/>
    </row>
    <row r="258" ht="15.75" customHeight="1">
      <c r="G258" s="5"/>
      <c r="I258" s="6"/>
    </row>
    <row r="259" ht="15.75" customHeight="1">
      <c r="G259" s="5"/>
      <c r="I259" s="6"/>
    </row>
    <row r="260" ht="15.75" customHeight="1">
      <c r="G260" s="5"/>
      <c r="I260" s="6"/>
    </row>
    <row r="261" ht="15.75" customHeight="1">
      <c r="G261" s="5"/>
      <c r="I261" s="6"/>
    </row>
    <row r="262" ht="15.75" customHeight="1">
      <c r="G262" s="5"/>
      <c r="I262" s="6"/>
    </row>
    <row r="263" ht="15.75" customHeight="1">
      <c r="G263" s="5"/>
      <c r="I263" s="6"/>
    </row>
    <row r="264" ht="15.75" customHeight="1">
      <c r="G264" s="5"/>
      <c r="I264" s="6"/>
    </row>
    <row r="265" ht="15.75" customHeight="1">
      <c r="G265" s="5"/>
      <c r="I265" s="6"/>
    </row>
    <row r="266" ht="15.75" customHeight="1">
      <c r="G266" s="5"/>
      <c r="I266" s="6"/>
    </row>
    <row r="267" ht="15.75" customHeight="1">
      <c r="G267" s="5"/>
      <c r="I267" s="6"/>
    </row>
    <row r="268" ht="15.75" customHeight="1">
      <c r="G268" s="5"/>
      <c r="I268" s="6"/>
    </row>
    <row r="269" ht="15.75" customHeight="1">
      <c r="G269" s="5"/>
      <c r="I269" s="6"/>
    </row>
    <row r="270" ht="15.75" customHeight="1">
      <c r="G270" s="5"/>
      <c r="I270" s="6"/>
    </row>
    <row r="271" ht="15.75" customHeight="1">
      <c r="G271" s="5"/>
      <c r="I271" s="6"/>
    </row>
    <row r="272" ht="15.75" customHeight="1">
      <c r="G272" s="5"/>
      <c r="I272" s="6"/>
    </row>
    <row r="273" ht="15.75" customHeight="1">
      <c r="G273" s="5"/>
      <c r="I273" s="6"/>
    </row>
    <row r="274" ht="15.75" customHeight="1">
      <c r="G274" s="5"/>
      <c r="I274" s="6"/>
    </row>
    <row r="275" ht="15.75" customHeight="1">
      <c r="G275" s="5"/>
      <c r="I275" s="6"/>
    </row>
    <row r="276" ht="15.75" customHeight="1">
      <c r="G276" s="5"/>
      <c r="I276" s="6"/>
    </row>
    <row r="277" ht="15.75" customHeight="1">
      <c r="G277" s="5"/>
      <c r="I277" s="6"/>
    </row>
    <row r="278" ht="15.75" customHeight="1">
      <c r="G278" s="5"/>
      <c r="I278" s="6"/>
    </row>
    <row r="279" ht="15.75" customHeight="1">
      <c r="G279" s="5"/>
      <c r="I279" s="6"/>
    </row>
    <row r="280" ht="15.75" customHeight="1">
      <c r="G280" s="5"/>
      <c r="I280" s="6"/>
    </row>
    <row r="281" ht="15.75" customHeight="1">
      <c r="G281" s="5"/>
      <c r="I281" s="6"/>
    </row>
    <row r="282" ht="15.75" customHeight="1">
      <c r="G282" s="5"/>
      <c r="I282" s="6"/>
    </row>
    <row r="283" ht="15.75" customHeight="1">
      <c r="G283" s="5"/>
      <c r="I283" s="6"/>
    </row>
    <row r="284" ht="15.75" customHeight="1">
      <c r="G284" s="5"/>
      <c r="I284" s="6"/>
    </row>
    <row r="285" ht="15.75" customHeight="1">
      <c r="G285" s="5"/>
      <c r="I285" s="6"/>
    </row>
    <row r="286" ht="15.75" customHeight="1">
      <c r="G286" s="5"/>
      <c r="I286" s="6"/>
    </row>
    <row r="287" ht="15.75" customHeight="1">
      <c r="G287" s="5"/>
      <c r="I287" s="6"/>
    </row>
    <row r="288" ht="15.75" customHeight="1">
      <c r="G288" s="5"/>
      <c r="I288" s="6"/>
    </row>
    <row r="289" ht="15.75" customHeight="1">
      <c r="G289" s="5"/>
      <c r="I289" s="6"/>
    </row>
    <row r="290" ht="15.75" customHeight="1">
      <c r="G290" s="5"/>
      <c r="I290" s="6"/>
    </row>
    <row r="291" ht="15.75" customHeight="1">
      <c r="G291" s="5"/>
      <c r="I291" s="6"/>
    </row>
    <row r="292" ht="15.75" customHeight="1">
      <c r="G292" s="5"/>
      <c r="I292" s="6"/>
    </row>
    <row r="293" ht="15.75" customHeight="1">
      <c r="G293" s="5"/>
      <c r="I293" s="6"/>
    </row>
    <row r="294" ht="15.75" customHeight="1">
      <c r="G294" s="5"/>
      <c r="I294" s="6"/>
    </row>
    <row r="295" ht="15.75" customHeight="1">
      <c r="G295" s="5"/>
      <c r="I295" s="6"/>
    </row>
    <row r="296" ht="15.75" customHeight="1">
      <c r="G296" s="5"/>
      <c r="I296" s="6"/>
    </row>
    <row r="297" ht="15.75" customHeight="1">
      <c r="G297" s="5"/>
      <c r="I297" s="6"/>
    </row>
    <row r="298" ht="15.75" customHeight="1">
      <c r="G298" s="5"/>
      <c r="I298" s="6"/>
    </row>
    <row r="299" ht="15.75" customHeight="1">
      <c r="G299" s="5"/>
      <c r="I299" s="6"/>
    </row>
    <row r="300" ht="15.75" customHeight="1">
      <c r="G300" s="5"/>
      <c r="I300" s="6"/>
    </row>
    <row r="301" ht="15.75" customHeight="1">
      <c r="G301" s="5"/>
      <c r="I301" s="6"/>
    </row>
    <row r="302" ht="15.75" customHeight="1">
      <c r="G302" s="5"/>
      <c r="I302" s="6"/>
    </row>
    <row r="303" ht="15.75" customHeight="1">
      <c r="G303" s="5"/>
      <c r="I303" s="6"/>
    </row>
    <row r="304" ht="15.75" customHeight="1">
      <c r="G304" s="5"/>
      <c r="I304" s="6"/>
    </row>
    <row r="305" ht="15.75" customHeight="1">
      <c r="G305" s="5"/>
      <c r="I305" s="6"/>
    </row>
    <row r="306" ht="15.75" customHeight="1">
      <c r="G306" s="5"/>
      <c r="I306" s="6"/>
    </row>
    <row r="307" ht="15.75" customHeight="1">
      <c r="G307" s="5"/>
      <c r="I307" s="6"/>
    </row>
    <row r="308" ht="15.75" customHeight="1">
      <c r="G308" s="5"/>
      <c r="I308" s="6"/>
    </row>
    <row r="309" ht="15.75" customHeight="1">
      <c r="G309" s="5"/>
      <c r="I309" s="6"/>
    </row>
    <row r="310" ht="15.75" customHeight="1">
      <c r="G310" s="5"/>
      <c r="I310" s="6"/>
    </row>
    <row r="311" ht="15.75" customHeight="1">
      <c r="G311" s="5"/>
      <c r="I311" s="6"/>
    </row>
    <row r="312" ht="15.75" customHeight="1">
      <c r="G312" s="5"/>
      <c r="I312" s="6"/>
    </row>
    <row r="313" ht="15.75" customHeight="1">
      <c r="G313" s="5"/>
      <c r="I313" s="6"/>
    </row>
    <row r="314" ht="15.75" customHeight="1">
      <c r="G314" s="5"/>
      <c r="I314" s="6"/>
    </row>
    <row r="315" ht="15.75" customHeight="1">
      <c r="G315" s="5"/>
      <c r="I315" s="6"/>
    </row>
    <row r="316" ht="15.75" customHeight="1">
      <c r="G316" s="5"/>
      <c r="I316" s="6"/>
    </row>
    <row r="317" ht="15.75" customHeight="1">
      <c r="G317" s="5"/>
      <c r="I317" s="6"/>
    </row>
    <row r="318" ht="15.75" customHeight="1">
      <c r="G318" s="5"/>
      <c r="I318" s="6"/>
    </row>
    <row r="319" ht="15.75" customHeight="1">
      <c r="G319" s="5"/>
      <c r="I319" s="6"/>
    </row>
    <row r="320" ht="15.75" customHeight="1">
      <c r="G320" s="5"/>
      <c r="I320" s="6"/>
    </row>
    <row r="321" ht="15.75" customHeight="1">
      <c r="G321" s="5"/>
      <c r="I321" s="6"/>
    </row>
    <row r="322" ht="15.75" customHeight="1">
      <c r="G322" s="5"/>
      <c r="I322" s="6"/>
    </row>
    <row r="323" ht="15.75" customHeight="1">
      <c r="G323" s="5"/>
      <c r="I323" s="6"/>
    </row>
    <row r="324" ht="15.75" customHeight="1">
      <c r="G324" s="5"/>
      <c r="I324" s="6"/>
    </row>
    <row r="325" ht="15.75" customHeight="1">
      <c r="G325" s="5"/>
      <c r="I325" s="6"/>
    </row>
    <row r="326" ht="15.75" customHeight="1">
      <c r="G326" s="5"/>
      <c r="I326" s="6"/>
    </row>
    <row r="327" ht="15.75" customHeight="1">
      <c r="G327" s="5"/>
      <c r="I327" s="6"/>
    </row>
    <row r="328" ht="15.75" customHeight="1">
      <c r="G328" s="5"/>
      <c r="I328" s="6"/>
    </row>
    <row r="329" ht="15.75" customHeight="1">
      <c r="G329" s="5"/>
      <c r="I329" s="6"/>
    </row>
    <row r="330" ht="15.75" customHeight="1">
      <c r="G330" s="5"/>
      <c r="I330" s="6"/>
    </row>
    <row r="331" ht="15.75" customHeight="1">
      <c r="G331" s="5"/>
      <c r="I331" s="6"/>
    </row>
    <row r="332" ht="15.75" customHeight="1">
      <c r="G332" s="5"/>
      <c r="I332" s="6"/>
    </row>
    <row r="333" ht="15.75" customHeight="1">
      <c r="G333" s="5"/>
      <c r="I333" s="6"/>
    </row>
    <row r="334" ht="15.75" customHeight="1">
      <c r="G334" s="5"/>
      <c r="I334" s="6"/>
    </row>
    <row r="335" ht="15.75" customHeight="1">
      <c r="G335" s="5"/>
      <c r="I335" s="6"/>
    </row>
    <row r="336" ht="15.75" customHeight="1">
      <c r="G336" s="5"/>
      <c r="I336" s="6"/>
    </row>
    <row r="337" ht="15.75" customHeight="1">
      <c r="G337" s="5"/>
      <c r="I337" s="6"/>
    </row>
    <row r="338" ht="15.75" customHeight="1">
      <c r="G338" s="5"/>
      <c r="I338" s="6"/>
    </row>
    <row r="339" ht="15.75" customHeight="1">
      <c r="G339" s="5"/>
      <c r="I339" s="6"/>
    </row>
    <row r="340" ht="15.75" customHeight="1">
      <c r="G340" s="5"/>
      <c r="I340" s="6"/>
    </row>
    <row r="341" ht="15.75" customHeight="1">
      <c r="G341" s="5"/>
      <c r="I341" s="6"/>
    </row>
    <row r="342" ht="15.75" customHeight="1">
      <c r="G342" s="5"/>
      <c r="I342" s="6"/>
    </row>
    <row r="343" ht="15.75" customHeight="1">
      <c r="G343" s="5"/>
      <c r="I343" s="6"/>
    </row>
    <row r="344" ht="15.75" customHeight="1">
      <c r="G344" s="5"/>
      <c r="I344" s="6"/>
    </row>
    <row r="345" ht="15.75" customHeight="1">
      <c r="G345" s="5"/>
      <c r="I345" s="6"/>
    </row>
    <row r="346" ht="15.75" customHeight="1">
      <c r="G346" s="5"/>
      <c r="I346" s="6"/>
    </row>
    <row r="347" ht="15.75" customHeight="1">
      <c r="G347" s="5"/>
      <c r="I347" s="6"/>
    </row>
    <row r="348" ht="15.75" customHeight="1">
      <c r="G348" s="5"/>
      <c r="I348" s="6"/>
    </row>
    <row r="349" ht="15.75" customHeight="1">
      <c r="G349" s="5"/>
      <c r="I349" s="6"/>
    </row>
    <row r="350" ht="15.75" customHeight="1">
      <c r="G350" s="5"/>
      <c r="I350" s="6"/>
    </row>
    <row r="351" ht="15.75" customHeight="1">
      <c r="G351" s="5"/>
      <c r="I351" s="6"/>
    </row>
    <row r="352" ht="15.75" customHeight="1">
      <c r="G352" s="5"/>
      <c r="I352" s="6"/>
    </row>
    <row r="353" ht="15.75" customHeight="1">
      <c r="G353" s="5"/>
      <c r="I353" s="6"/>
    </row>
    <row r="354" ht="15.75" customHeight="1">
      <c r="G354" s="5"/>
      <c r="I354" s="6"/>
    </row>
    <row r="355" ht="15.75" customHeight="1">
      <c r="G355" s="5"/>
      <c r="I355" s="6"/>
    </row>
    <row r="356" ht="15.75" customHeight="1">
      <c r="G356" s="5"/>
      <c r="I356" s="6"/>
    </row>
    <row r="357" ht="15.75" customHeight="1">
      <c r="G357" s="5"/>
      <c r="I357" s="6"/>
    </row>
    <row r="358" ht="15.75" customHeight="1">
      <c r="G358" s="5"/>
      <c r="I358" s="6"/>
    </row>
    <row r="359" ht="15.75" customHeight="1">
      <c r="G359" s="5"/>
      <c r="I359" s="6"/>
    </row>
    <row r="360" ht="15.75" customHeight="1">
      <c r="G360" s="5"/>
      <c r="I360" s="6"/>
    </row>
    <row r="361" ht="15.75" customHeight="1">
      <c r="G361" s="5"/>
      <c r="I361" s="6"/>
    </row>
    <row r="362" ht="15.75" customHeight="1">
      <c r="G362" s="5"/>
      <c r="I362" s="6"/>
    </row>
    <row r="363" ht="15.75" customHeight="1">
      <c r="G363" s="5"/>
      <c r="I363" s="6"/>
    </row>
    <row r="364" ht="15.75" customHeight="1">
      <c r="G364" s="5"/>
      <c r="I364" s="6"/>
    </row>
    <row r="365" ht="15.75" customHeight="1">
      <c r="G365" s="5"/>
      <c r="I365" s="6"/>
    </row>
    <row r="366" ht="15.75" customHeight="1">
      <c r="G366" s="5"/>
      <c r="I366" s="6"/>
    </row>
    <row r="367" ht="15.75" customHeight="1">
      <c r="G367" s="5"/>
      <c r="I367" s="6"/>
    </row>
    <row r="368" ht="15.75" customHeight="1">
      <c r="G368" s="5"/>
      <c r="I368" s="6"/>
    </row>
    <row r="369" ht="15.75" customHeight="1">
      <c r="G369" s="5"/>
      <c r="I369" s="6"/>
    </row>
    <row r="370" ht="15.75" customHeight="1">
      <c r="G370" s="5"/>
      <c r="I370" s="6"/>
    </row>
    <row r="371" ht="15.75" customHeight="1">
      <c r="G371" s="5"/>
      <c r="I371" s="6"/>
    </row>
    <row r="372" ht="15.75" customHeight="1">
      <c r="G372" s="5"/>
      <c r="I372" s="6"/>
    </row>
    <row r="373" ht="15.75" customHeight="1">
      <c r="G373" s="5"/>
      <c r="I373" s="6"/>
    </row>
    <row r="374" ht="15.75" customHeight="1">
      <c r="G374" s="5"/>
      <c r="I374" s="6"/>
    </row>
    <row r="375" ht="15.75" customHeight="1">
      <c r="G375" s="5"/>
      <c r="I375" s="6"/>
    </row>
    <row r="376" ht="15.75" customHeight="1">
      <c r="G376" s="5"/>
      <c r="I376" s="6"/>
    </row>
    <row r="377" ht="15.75" customHeight="1">
      <c r="G377" s="5"/>
      <c r="I377" s="6"/>
    </row>
    <row r="378" ht="15.75" customHeight="1">
      <c r="G378" s="5"/>
      <c r="I378" s="6"/>
    </row>
    <row r="379" ht="15.75" customHeight="1">
      <c r="G379" s="5"/>
      <c r="I379" s="6"/>
    </row>
    <row r="380" ht="15.75" customHeight="1">
      <c r="G380" s="5"/>
      <c r="I380" s="6"/>
    </row>
    <row r="381" ht="15.75" customHeight="1">
      <c r="G381" s="5"/>
      <c r="I381" s="6"/>
    </row>
    <row r="382" ht="15.75" customHeight="1">
      <c r="G382" s="5"/>
      <c r="I382" s="6"/>
    </row>
    <row r="383" ht="15.75" customHeight="1">
      <c r="G383" s="5"/>
      <c r="I383" s="6"/>
    </row>
    <row r="384" ht="15.75" customHeight="1">
      <c r="G384" s="5"/>
      <c r="I384" s="6"/>
    </row>
    <row r="385" ht="15.75" customHeight="1">
      <c r="G385" s="5"/>
      <c r="I385" s="6"/>
    </row>
    <row r="386" ht="15.75" customHeight="1">
      <c r="G386" s="5"/>
      <c r="I386" s="6"/>
    </row>
    <row r="387" ht="15.75" customHeight="1">
      <c r="G387" s="5"/>
      <c r="I387" s="6"/>
    </row>
    <row r="388" ht="15.75" customHeight="1">
      <c r="G388" s="5"/>
      <c r="I388" s="6"/>
    </row>
    <row r="389" ht="15.75" customHeight="1">
      <c r="G389" s="5"/>
      <c r="I389" s="6"/>
    </row>
    <row r="390" ht="15.75" customHeight="1">
      <c r="G390" s="5"/>
      <c r="I390" s="6"/>
    </row>
    <row r="391" ht="15.75" customHeight="1">
      <c r="G391" s="5"/>
      <c r="I391" s="6"/>
    </row>
    <row r="392" ht="15.75" customHeight="1">
      <c r="G392" s="5"/>
      <c r="I392" s="6"/>
    </row>
    <row r="393" ht="15.75" customHeight="1">
      <c r="G393" s="5"/>
      <c r="I393" s="6"/>
    </row>
    <row r="394" ht="15.75" customHeight="1">
      <c r="G394" s="5"/>
      <c r="I394" s="6"/>
    </row>
    <row r="395" ht="15.75" customHeight="1">
      <c r="G395" s="5"/>
      <c r="I395" s="6"/>
    </row>
    <row r="396" ht="15.75" customHeight="1">
      <c r="G396" s="5"/>
      <c r="I396" s="6"/>
    </row>
    <row r="397" ht="15.75" customHeight="1">
      <c r="G397" s="5"/>
      <c r="I397" s="6"/>
    </row>
    <row r="398" ht="15.75" customHeight="1">
      <c r="G398" s="5"/>
      <c r="I398" s="6"/>
    </row>
    <row r="399" ht="15.75" customHeight="1">
      <c r="G399" s="5"/>
      <c r="I399" s="6"/>
    </row>
    <row r="400" ht="15.75" customHeight="1">
      <c r="G400" s="5"/>
      <c r="I400" s="6"/>
    </row>
    <row r="401" ht="15.75" customHeight="1">
      <c r="G401" s="5"/>
      <c r="I401" s="6"/>
    </row>
    <row r="402" ht="15.75" customHeight="1">
      <c r="G402" s="5"/>
      <c r="I402" s="6"/>
    </row>
    <row r="403" ht="15.75" customHeight="1">
      <c r="G403" s="5"/>
      <c r="I403" s="6"/>
    </row>
    <row r="404" ht="15.75" customHeight="1">
      <c r="G404" s="5"/>
      <c r="I404" s="6"/>
    </row>
    <row r="405" ht="15.75" customHeight="1">
      <c r="G405" s="5"/>
      <c r="I405" s="6"/>
    </row>
    <row r="406" ht="15.75" customHeight="1">
      <c r="G406" s="5"/>
      <c r="I406" s="6"/>
    </row>
    <row r="407" ht="15.75" customHeight="1">
      <c r="G407" s="5"/>
      <c r="I407" s="6"/>
    </row>
    <row r="408" ht="15.75" customHeight="1">
      <c r="G408" s="5"/>
      <c r="I408" s="6"/>
    </row>
    <row r="409" ht="15.75" customHeight="1">
      <c r="G409" s="5"/>
      <c r="I409" s="6"/>
    </row>
    <row r="410" ht="15.75" customHeight="1">
      <c r="G410" s="5"/>
      <c r="I410" s="6"/>
    </row>
    <row r="411" ht="15.75" customHeight="1">
      <c r="G411" s="5"/>
      <c r="I411" s="6"/>
    </row>
    <row r="412" ht="15.75" customHeight="1">
      <c r="G412" s="5"/>
      <c r="I412" s="6"/>
    </row>
    <row r="413" ht="15.75" customHeight="1">
      <c r="G413" s="5"/>
      <c r="I413" s="6"/>
    </row>
    <row r="414" ht="15.75" customHeight="1">
      <c r="G414" s="5"/>
      <c r="I414" s="6"/>
    </row>
    <row r="415" ht="15.75" customHeight="1">
      <c r="G415" s="5"/>
      <c r="I415" s="6"/>
    </row>
    <row r="416" ht="15.75" customHeight="1">
      <c r="G416" s="5"/>
      <c r="I416" s="6"/>
    </row>
    <row r="417" ht="15.75" customHeight="1">
      <c r="G417" s="5"/>
      <c r="I417" s="6"/>
    </row>
    <row r="418" ht="15.75" customHeight="1">
      <c r="G418" s="5"/>
      <c r="I418" s="6"/>
    </row>
    <row r="419" ht="15.75" customHeight="1">
      <c r="G419" s="5"/>
      <c r="I419" s="6"/>
    </row>
    <row r="420" ht="15.75" customHeight="1">
      <c r="G420" s="5"/>
      <c r="I420" s="6"/>
    </row>
    <row r="421" ht="15.75" customHeight="1">
      <c r="G421" s="5"/>
      <c r="I421" s="6"/>
    </row>
    <row r="422" ht="15.75" customHeight="1">
      <c r="G422" s="5"/>
      <c r="I422" s="6"/>
    </row>
    <row r="423" ht="15.75" customHeight="1">
      <c r="G423" s="5"/>
      <c r="I423" s="6"/>
    </row>
    <row r="424" ht="15.75" customHeight="1">
      <c r="G424" s="5"/>
      <c r="I424" s="6"/>
    </row>
    <row r="425" ht="15.75" customHeight="1">
      <c r="G425" s="5"/>
      <c r="I425" s="6"/>
    </row>
    <row r="426" ht="15.75" customHeight="1">
      <c r="G426" s="5"/>
      <c r="I426" s="6"/>
    </row>
    <row r="427" ht="15.75" customHeight="1">
      <c r="G427" s="5"/>
      <c r="I427" s="6"/>
    </row>
    <row r="428" ht="15.75" customHeight="1">
      <c r="G428" s="5"/>
      <c r="I428" s="6"/>
    </row>
    <row r="429" ht="15.75" customHeight="1">
      <c r="G429" s="5"/>
      <c r="I429" s="6"/>
    </row>
    <row r="430" ht="15.75" customHeight="1">
      <c r="G430" s="5"/>
      <c r="I430" s="6"/>
    </row>
    <row r="431" ht="15.75" customHeight="1">
      <c r="G431" s="5"/>
      <c r="I431" s="6"/>
    </row>
    <row r="432" ht="15.75" customHeight="1">
      <c r="G432" s="5"/>
      <c r="I432" s="6"/>
    </row>
    <row r="433" ht="15.75" customHeight="1">
      <c r="G433" s="5"/>
      <c r="I433" s="6"/>
    </row>
    <row r="434" ht="15.75" customHeight="1">
      <c r="G434" s="5"/>
      <c r="I434" s="6"/>
    </row>
    <row r="435" ht="15.75" customHeight="1">
      <c r="G435" s="5"/>
      <c r="I435" s="6"/>
    </row>
    <row r="436" ht="15.75" customHeight="1">
      <c r="G436" s="5"/>
      <c r="I436" s="6"/>
    </row>
    <row r="437" ht="15.75" customHeight="1">
      <c r="G437" s="5"/>
      <c r="I437" s="6"/>
    </row>
    <row r="438" ht="15.75" customHeight="1">
      <c r="G438" s="5"/>
      <c r="I438" s="6"/>
    </row>
    <row r="439" ht="15.75" customHeight="1">
      <c r="G439" s="5"/>
      <c r="I439" s="6"/>
    </row>
    <row r="440" ht="15.75" customHeight="1">
      <c r="G440" s="5"/>
      <c r="I440" s="6"/>
    </row>
    <row r="441" ht="15.75" customHeight="1">
      <c r="G441" s="5"/>
      <c r="I441" s="6"/>
    </row>
    <row r="442" ht="15.75" customHeight="1">
      <c r="G442" s="5"/>
      <c r="I442" s="6"/>
    </row>
    <row r="443" ht="15.75" customHeight="1">
      <c r="G443" s="5"/>
      <c r="I443" s="6"/>
    </row>
    <row r="444" ht="15.75" customHeight="1">
      <c r="G444" s="5"/>
      <c r="I444" s="6"/>
    </row>
    <row r="445" ht="15.75" customHeight="1">
      <c r="G445" s="5"/>
      <c r="I445" s="6"/>
    </row>
    <row r="446" ht="15.75" customHeight="1">
      <c r="G446" s="5"/>
      <c r="I446" s="6"/>
    </row>
    <row r="447" ht="15.75" customHeight="1">
      <c r="G447" s="5"/>
      <c r="I447" s="6"/>
    </row>
    <row r="448" ht="15.75" customHeight="1">
      <c r="G448" s="5"/>
      <c r="I448" s="6"/>
    </row>
    <row r="449" ht="15.75" customHeight="1">
      <c r="G449" s="5"/>
      <c r="I449" s="6"/>
    </row>
    <row r="450" ht="15.75" customHeight="1">
      <c r="G450" s="5"/>
      <c r="I450" s="6"/>
    </row>
    <row r="451" ht="15.75" customHeight="1">
      <c r="G451" s="5"/>
      <c r="I451" s="6"/>
    </row>
    <row r="452" ht="15.75" customHeight="1">
      <c r="G452" s="5"/>
      <c r="I452" s="6"/>
    </row>
    <row r="453" ht="15.75" customHeight="1">
      <c r="G453" s="5"/>
      <c r="I453" s="6"/>
    </row>
    <row r="454" ht="15.75" customHeight="1">
      <c r="G454" s="5"/>
      <c r="I454" s="6"/>
    </row>
    <row r="455" ht="15.75" customHeight="1">
      <c r="G455" s="5"/>
      <c r="I455" s="6"/>
    </row>
    <row r="456" ht="15.75" customHeight="1">
      <c r="G456" s="5"/>
      <c r="I456" s="6"/>
    </row>
    <row r="457" ht="15.75" customHeight="1">
      <c r="G457" s="5"/>
      <c r="I457" s="6"/>
    </row>
    <row r="458" ht="15.75" customHeight="1">
      <c r="G458" s="5"/>
      <c r="I458" s="6"/>
    </row>
    <row r="459" ht="15.75" customHeight="1">
      <c r="G459" s="5"/>
      <c r="I459" s="6"/>
    </row>
    <row r="460" ht="15.75" customHeight="1">
      <c r="G460" s="5"/>
      <c r="I460" s="6"/>
    </row>
    <row r="461" ht="15.75" customHeight="1">
      <c r="G461" s="5"/>
      <c r="I461" s="6"/>
    </row>
    <row r="462" ht="15.75" customHeight="1">
      <c r="G462" s="5"/>
      <c r="I462" s="6"/>
    </row>
    <row r="463" ht="15.75" customHeight="1">
      <c r="G463" s="5"/>
      <c r="I463" s="6"/>
    </row>
    <row r="464" ht="15.75" customHeight="1">
      <c r="G464" s="5"/>
      <c r="I464" s="6"/>
    </row>
    <row r="465" ht="15.75" customHeight="1">
      <c r="G465" s="5"/>
      <c r="I465" s="6"/>
    </row>
    <row r="466" ht="15.75" customHeight="1">
      <c r="G466" s="5"/>
      <c r="I466" s="6"/>
    </row>
    <row r="467" ht="15.75" customHeight="1">
      <c r="G467" s="5"/>
      <c r="I467" s="6"/>
    </row>
    <row r="468" ht="15.75" customHeight="1">
      <c r="G468" s="5"/>
      <c r="I468" s="6"/>
    </row>
    <row r="469" ht="15.75" customHeight="1">
      <c r="G469" s="5"/>
      <c r="I469" s="6"/>
    </row>
    <row r="470" ht="15.75" customHeight="1">
      <c r="G470" s="5"/>
      <c r="I470" s="6"/>
    </row>
    <row r="471" ht="15.75" customHeight="1">
      <c r="G471" s="5"/>
      <c r="I471" s="6"/>
    </row>
    <row r="472" ht="15.75" customHeight="1">
      <c r="G472" s="5"/>
      <c r="I472" s="6"/>
    </row>
    <row r="473" ht="15.75" customHeight="1">
      <c r="G473" s="5"/>
      <c r="I473" s="6"/>
    </row>
    <row r="474" ht="15.75" customHeight="1">
      <c r="G474" s="5"/>
      <c r="I474" s="6"/>
    </row>
    <row r="475" ht="15.75" customHeight="1">
      <c r="G475" s="5"/>
      <c r="I475" s="6"/>
    </row>
    <row r="476" ht="15.75" customHeight="1">
      <c r="G476" s="5"/>
      <c r="I476" s="6"/>
    </row>
    <row r="477" ht="15.75" customHeight="1">
      <c r="G477" s="5"/>
      <c r="I477" s="6"/>
    </row>
    <row r="478" ht="15.75" customHeight="1">
      <c r="G478" s="5"/>
      <c r="I478" s="6"/>
    </row>
    <row r="479" ht="15.75" customHeight="1">
      <c r="G479" s="5"/>
      <c r="I479" s="6"/>
    </row>
    <row r="480" ht="15.75" customHeight="1">
      <c r="G480" s="5"/>
      <c r="I480" s="6"/>
    </row>
    <row r="481" ht="15.75" customHeight="1">
      <c r="G481" s="5"/>
      <c r="I481" s="6"/>
    </row>
    <row r="482" ht="15.75" customHeight="1">
      <c r="G482" s="5"/>
      <c r="I482" s="6"/>
    </row>
    <row r="483" ht="15.75" customHeight="1">
      <c r="G483" s="5"/>
      <c r="I483" s="6"/>
    </row>
    <row r="484" ht="15.75" customHeight="1">
      <c r="G484" s="5"/>
      <c r="I484" s="6"/>
    </row>
    <row r="485" ht="15.75" customHeight="1">
      <c r="G485" s="5"/>
      <c r="I485" s="6"/>
    </row>
    <row r="486" ht="15.75" customHeight="1">
      <c r="G486" s="5"/>
      <c r="I486" s="6"/>
    </row>
    <row r="487" ht="15.75" customHeight="1">
      <c r="G487" s="5"/>
      <c r="I487" s="6"/>
    </row>
    <row r="488" ht="15.75" customHeight="1">
      <c r="G488" s="5"/>
      <c r="I488" s="6"/>
    </row>
    <row r="489" ht="15.75" customHeight="1">
      <c r="G489" s="5"/>
      <c r="I489" s="6"/>
    </row>
    <row r="490" ht="15.75" customHeight="1">
      <c r="G490" s="5"/>
      <c r="I490" s="6"/>
    </row>
    <row r="491" ht="15.75" customHeight="1">
      <c r="G491" s="5"/>
      <c r="I491" s="6"/>
    </row>
    <row r="492" ht="15.75" customHeight="1">
      <c r="G492" s="5"/>
      <c r="I492" s="6"/>
    </row>
    <row r="493" ht="15.75" customHeight="1">
      <c r="G493" s="5"/>
      <c r="I493" s="6"/>
    </row>
    <row r="494" ht="15.75" customHeight="1">
      <c r="G494" s="5"/>
      <c r="I494" s="6"/>
    </row>
    <row r="495" ht="15.75" customHeight="1">
      <c r="G495" s="5"/>
      <c r="I495" s="6"/>
    </row>
    <row r="496" ht="15.75" customHeight="1">
      <c r="G496" s="5"/>
      <c r="I496" s="6"/>
    </row>
    <row r="497" ht="15.75" customHeight="1">
      <c r="G497" s="5"/>
      <c r="I497" s="6"/>
    </row>
    <row r="498" ht="15.75" customHeight="1">
      <c r="G498" s="5"/>
      <c r="I498" s="6"/>
    </row>
    <row r="499" ht="15.75" customHeight="1">
      <c r="G499" s="5"/>
      <c r="I499" s="6"/>
    </row>
    <row r="500" ht="15.75" customHeight="1">
      <c r="G500" s="5"/>
      <c r="I500" s="6"/>
    </row>
    <row r="501" ht="15.75" customHeight="1">
      <c r="G501" s="5"/>
      <c r="I501" s="6"/>
    </row>
    <row r="502" ht="15.75" customHeight="1">
      <c r="G502" s="5"/>
      <c r="I502" s="6"/>
    </row>
    <row r="503" ht="15.75" customHeight="1">
      <c r="G503" s="5"/>
      <c r="I503" s="6"/>
    </row>
    <row r="504" ht="15.75" customHeight="1">
      <c r="G504" s="5"/>
      <c r="I504" s="6"/>
    </row>
    <row r="505" ht="15.75" customHeight="1">
      <c r="G505" s="5"/>
      <c r="I505" s="6"/>
    </row>
    <row r="506" ht="15.75" customHeight="1">
      <c r="G506" s="5"/>
      <c r="I506" s="6"/>
    </row>
    <row r="507" ht="15.75" customHeight="1">
      <c r="G507" s="5"/>
      <c r="I507" s="6"/>
    </row>
    <row r="508" ht="15.75" customHeight="1">
      <c r="G508" s="5"/>
      <c r="I508" s="6"/>
    </row>
    <row r="509" ht="15.75" customHeight="1">
      <c r="G509" s="5"/>
      <c r="I509" s="6"/>
    </row>
    <row r="510" ht="15.75" customHeight="1">
      <c r="G510" s="5"/>
      <c r="I510" s="6"/>
    </row>
    <row r="511" ht="15.75" customHeight="1">
      <c r="G511" s="5"/>
      <c r="I511" s="6"/>
    </row>
    <row r="512" ht="15.75" customHeight="1">
      <c r="G512" s="5"/>
      <c r="I512" s="6"/>
    </row>
    <row r="513" ht="15.75" customHeight="1">
      <c r="G513" s="5"/>
      <c r="I513" s="6"/>
    </row>
    <row r="514" ht="15.75" customHeight="1">
      <c r="G514" s="5"/>
      <c r="I514" s="6"/>
    </row>
    <row r="515" ht="15.75" customHeight="1">
      <c r="G515" s="5"/>
      <c r="I515" s="6"/>
    </row>
    <row r="516" ht="15.75" customHeight="1">
      <c r="G516" s="5"/>
      <c r="I516" s="6"/>
    </row>
    <row r="517" ht="15.75" customHeight="1">
      <c r="G517" s="5"/>
      <c r="I517" s="6"/>
    </row>
    <row r="518" ht="15.75" customHeight="1">
      <c r="G518" s="5"/>
      <c r="I518" s="6"/>
    </row>
    <row r="519" ht="15.75" customHeight="1">
      <c r="G519" s="5"/>
      <c r="I519" s="6"/>
    </row>
    <row r="520" ht="15.75" customHeight="1">
      <c r="G520" s="5"/>
      <c r="I520" s="6"/>
    </row>
    <row r="521" ht="15.75" customHeight="1">
      <c r="G521" s="5"/>
      <c r="I521" s="6"/>
    </row>
    <row r="522" ht="15.75" customHeight="1">
      <c r="G522" s="5"/>
      <c r="I522" s="6"/>
    </row>
    <row r="523" ht="15.75" customHeight="1">
      <c r="G523" s="5"/>
      <c r="I523" s="6"/>
    </row>
    <row r="524" ht="15.75" customHeight="1">
      <c r="G524" s="5"/>
      <c r="I524" s="6"/>
    </row>
    <row r="525" ht="15.75" customHeight="1">
      <c r="G525" s="5"/>
      <c r="I525" s="6"/>
    </row>
    <row r="526" ht="15.75" customHeight="1">
      <c r="G526" s="5"/>
      <c r="I526" s="6"/>
    </row>
    <row r="527" ht="15.75" customHeight="1">
      <c r="G527" s="5"/>
      <c r="I527" s="6"/>
    </row>
    <row r="528" ht="15.75" customHeight="1">
      <c r="G528" s="5"/>
      <c r="I528" s="6"/>
    </row>
    <row r="529" ht="15.75" customHeight="1">
      <c r="G529" s="5"/>
      <c r="I529" s="6"/>
    </row>
    <row r="530" ht="15.75" customHeight="1">
      <c r="G530" s="5"/>
      <c r="I530" s="6"/>
    </row>
    <row r="531" ht="15.75" customHeight="1">
      <c r="G531" s="5"/>
      <c r="I531" s="6"/>
    </row>
    <row r="532" ht="15.75" customHeight="1">
      <c r="G532" s="5"/>
      <c r="I532" s="6"/>
    </row>
    <row r="533" ht="15.75" customHeight="1">
      <c r="G533" s="5"/>
      <c r="I533" s="6"/>
    </row>
    <row r="534" ht="15.75" customHeight="1">
      <c r="G534" s="5"/>
      <c r="I534" s="6"/>
    </row>
    <row r="535" ht="15.75" customHeight="1">
      <c r="G535" s="5"/>
      <c r="I535" s="6"/>
    </row>
    <row r="536" ht="15.75" customHeight="1">
      <c r="G536" s="5"/>
      <c r="I536" s="6"/>
    </row>
    <row r="537" ht="15.75" customHeight="1">
      <c r="G537" s="5"/>
      <c r="I537" s="6"/>
    </row>
    <row r="538" ht="15.75" customHeight="1">
      <c r="G538" s="5"/>
      <c r="I538" s="6"/>
    </row>
    <row r="539" ht="15.75" customHeight="1">
      <c r="G539" s="5"/>
      <c r="I539" s="6"/>
    </row>
    <row r="540" ht="15.75" customHeight="1">
      <c r="G540" s="5"/>
      <c r="I540" s="6"/>
    </row>
    <row r="541" ht="15.75" customHeight="1">
      <c r="G541" s="5"/>
      <c r="I541" s="6"/>
    </row>
    <row r="542" ht="15.75" customHeight="1">
      <c r="G542" s="5"/>
      <c r="I542" s="6"/>
    </row>
    <row r="543" ht="15.75" customHeight="1">
      <c r="G543" s="5"/>
      <c r="I543" s="6"/>
    </row>
    <row r="544" ht="15.75" customHeight="1">
      <c r="G544" s="5"/>
      <c r="I544" s="6"/>
    </row>
    <row r="545" ht="15.75" customHeight="1">
      <c r="G545" s="5"/>
      <c r="I545" s="6"/>
    </row>
    <row r="546" ht="15.75" customHeight="1">
      <c r="G546" s="5"/>
      <c r="I546" s="6"/>
    </row>
    <row r="547" ht="15.75" customHeight="1">
      <c r="G547" s="5"/>
      <c r="I547" s="6"/>
    </row>
    <row r="548" ht="15.75" customHeight="1">
      <c r="G548" s="5"/>
      <c r="I548" s="6"/>
    </row>
    <row r="549" ht="15.75" customHeight="1">
      <c r="G549" s="5"/>
      <c r="I549" s="6"/>
    </row>
    <row r="550" ht="15.75" customHeight="1">
      <c r="G550" s="5"/>
      <c r="I550" s="6"/>
    </row>
    <row r="551" ht="15.75" customHeight="1">
      <c r="G551" s="5"/>
      <c r="I551" s="6"/>
    </row>
    <row r="552" ht="15.75" customHeight="1">
      <c r="G552" s="5"/>
      <c r="I552" s="6"/>
    </row>
    <row r="553" ht="15.75" customHeight="1">
      <c r="G553" s="5"/>
      <c r="I553" s="6"/>
    </row>
    <row r="554" ht="15.75" customHeight="1">
      <c r="G554" s="5"/>
      <c r="I554" s="6"/>
    </row>
    <row r="555" ht="15.75" customHeight="1">
      <c r="G555" s="5"/>
      <c r="I555" s="6"/>
    </row>
    <row r="556" ht="15.75" customHeight="1">
      <c r="G556" s="5"/>
      <c r="I556" s="6"/>
    </row>
    <row r="557" ht="15.75" customHeight="1">
      <c r="G557" s="5"/>
      <c r="I557" s="6"/>
    </row>
    <row r="558" ht="15.75" customHeight="1">
      <c r="G558" s="5"/>
      <c r="I558" s="6"/>
    </row>
    <row r="559" ht="15.75" customHeight="1">
      <c r="G559" s="5"/>
      <c r="I559" s="6"/>
    </row>
    <row r="560" ht="15.75" customHeight="1">
      <c r="G560" s="5"/>
      <c r="I560" s="6"/>
    </row>
    <row r="561" ht="15.75" customHeight="1">
      <c r="G561" s="5"/>
      <c r="I561" s="6"/>
    </row>
    <row r="562" ht="15.75" customHeight="1">
      <c r="G562" s="5"/>
      <c r="I562" s="6"/>
    </row>
    <row r="563" ht="15.75" customHeight="1">
      <c r="G563" s="5"/>
      <c r="I563" s="6"/>
    </row>
    <row r="564" ht="15.75" customHeight="1">
      <c r="G564" s="5"/>
      <c r="I564" s="6"/>
    </row>
    <row r="565" ht="15.75" customHeight="1">
      <c r="G565" s="5"/>
      <c r="I565" s="6"/>
    </row>
    <row r="566" ht="15.75" customHeight="1">
      <c r="G566" s="5"/>
      <c r="I566" s="6"/>
    </row>
    <row r="567" ht="15.75" customHeight="1">
      <c r="G567" s="5"/>
      <c r="I567" s="6"/>
    </row>
    <row r="568" ht="15.75" customHeight="1">
      <c r="G568" s="5"/>
      <c r="I568" s="6"/>
    </row>
    <row r="569" ht="15.75" customHeight="1">
      <c r="G569" s="5"/>
      <c r="I569" s="6"/>
    </row>
    <row r="570" ht="15.75" customHeight="1">
      <c r="G570" s="5"/>
      <c r="I570" s="6"/>
    </row>
    <row r="571" ht="15.75" customHeight="1">
      <c r="G571" s="5"/>
      <c r="I571" s="6"/>
    </row>
    <row r="572" ht="15.75" customHeight="1">
      <c r="G572" s="5"/>
      <c r="I572" s="6"/>
    </row>
    <row r="573" ht="15.75" customHeight="1">
      <c r="G573" s="5"/>
      <c r="I573" s="6"/>
    </row>
    <row r="574" ht="15.75" customHeight="1">
      <c r="G574" s="5"/>
      <c r="I574" s="6"/>
    </row>
    <row r="575" ht="15.75" customHeight="1">
      <c r="G575" s="5"/>
      <c r="I575" s="6"/>
    </row>
    <row r="576" ht="15.75" customHeight="1">
      <c r="G576" s="5"/>
      <c r="I576" s="6"/>
    </row>
    <row r="577" ht="15.75" customHeight="1">
      <c r="G577" s="5"/>
      <c r="I577" s="6"/>
    </row>
    <row r="578" ht="15.75" customHeight="1">
      <c r="G578" s="5"/>
      <c r="I578" s="6"/>
    </row>
    <row r="579" ht="15.75" customHeight="1">
      <c r="G579" s="5"/>
      <c r="I579" s="6"/>
    </row>
    <row r="580" ht="15.75" customHeight="1">
      <c r="G580" s="5"/>
      <c r="I580" s="6"/>
    </row>
    <row r="581" ht="15.75" customHeight="1">
      <c r="G581" s="5"/>
      <c r="I581" s="6"/>
    </row>
    <row r="582" ht="15.75" customHeight="1">
      <c r="G582" s="5"/>
      <c r="I582" s="6"/>
    </row>
    <row r="583" ht="15.75" customHeight="1">
      <c r="G583" s="5"/>
      <c r="I583" s="6"/>
    </row>
    <row r="584" ht="15.75" customHeight="1">
      <c r="G584" s="5"/>
      <c r="I584" s="6"/>
    </row>
    <row r="585" ht="15.75" customHeight="1">
      <c r="G585" s="5"/>
      <c r="I585" s="6"/>
    </row>
    <row r="586" ht="15.75" customHeight="1">
      <c r="G586" s="5"/>
      <c r="I586" s="6"/>
    </row>
    <row r="587" ht="15.75" customHeight="1">
      <c r="G587" s="5"/>
      <c r="I587" s="6"/>
    </row>
    <row r="588" ht="15.75" customHeight="1">
      <c r="G588" s="5"/>
      <c r="I588" s="6"/>
    </row>
    <row r="589" ht="15.75" customHeight="1">
      <c r="G589" s="5"/>
      <c r="I589" s="6"/>
    </row>
    <row r="590" ht="15.75" customHeight="1">
      <c r="G590" s="5"/>
      <c r="I590" s="6"/>
    </row>
    <row r="591" ht="15.75" customHeight="1">
      <c r="G591" s="5"/>
      <c r="I591" s="6"/>
    </row>
    <row r="592" ht="15.75" customHeight="1">
      <c r="G592" s="5"/>
      <c r="I592" s="6"/>
    </row>
    <row r="593" ht="15.75" customHeight="1">
      <c r="G593" s="5"/>
      <c r="I593" s="6"/>
    </row>
    <row r="594" ht="15.75" customHeight="1">
      <c r="G594" s="5"/>
      <c r="I594" s="6"/>
    </row>
    <row r="595" ht="15.75" customHeight="1">
      <c r="G595" s="5"/>
      <c r="I595" s="6"/>
    </row>
    <row r="596" ht="15.75" customHeight="1">
      <c r="G596" s="5"/>
      <c r="I596" s="6"/>
    </row>
    <row r="597" ht="15.75" customHeight="1">
      <c r="G597" s="5"/>
      <c r="I597" s="6"/>
    </row>
    <row r="598" ht="15.75" customHeight="1">
      <c r="G598" s="5"/>
      <c r="I598" s="6"/>
    </row>
    <row r="599" ht="15.75" customHeight="1">
      <c r="G599" s="5"/>
      <c r="I599" s="6"/>
    </row>
    <row r="600" ht="15.75" customHeight="1">
      <c r="G600" s="5"/>
      <c r="I600" s="6"/>
    </row>
    <row r="601" ht="15.75" customHeight="1">
      <c r="G601" s="5"/>
      <c r="I601" s="6"/>
    </row>
    <row r="602" ht="15.75" customHeight="1">
      <c r="G602" s="5"/>
      <c r="I602" s="6"/>
    </row>
    <row r="603" ht="15.75" customHeight="1">
      <c r="G603" s="5"/>
      <c r="I603" s="6"/>
    </row>
    <row r="604" ht="15.75" customHeight="1">
      <c r="G604" s="5"/>
      <c r="I604" s="6"/>
    </row>
    <row r="605" ht="15.75" customHeight="1">
      <c r="G605" s="5"/>
      <c r="I605" s="6"/>
    </row>
    <row r="606" ht="15.75" customHeight="1">
      <c r="G606" s="5"/>
      <c r="I606" s="6"/>
    </row>
    <row r="607" ht="15.75" customHeight="1">
      <c r="G607" s="5"/>
      <c r="I607" s="6"/>
    </row>
    <row r="608" ht="15.75" customHeight="1">
      <c r="G608" s="5"/>
      <c r="I608" s="6"/>
    </row>
    <row r="609" ht="15.75" customHeight="1">
      <c r="G609" s="5"/>
      <c r="I609" s="6"/>
    </row>
    <row r="610" ht="15.75" customHeight="1">
      <c r="G610" s="5"/>
      <c r="I610" s="6"/>
    </row>
    <row r="611" ht="15.75" customHeight="1">
      <c r="G611" s="5"/>
      <c r="I611" s="6"/>
    </row>
    <row r="612" ht="15.75" customHeight="1">
      <c r="G612" s="5"/>
      <c r="I612" s="6"/>
    </row>
    <row r="613" ht="15.75" customHeight="1">
      <c r="G613" s="5"/>
      <c r="I613" s="6"/>
    </row>
    <row r="614" ht="15.75" customHeight="1">
      <c r="G614" s="5"/>
      <c r="I614" s="6"/>
    </row>
    <row r="615" ht="15.75" customHeight="1">
      <c r="G615" s="5"/>
      <c r="I615" s="6"/>
    </row>
    <row r="616" ht="15.75" customHeight="1">
      <c r="G616" s="5"/>
      <c r="I616" s="6"/>
    </row>
    <row r="617" ht="15.75" customHeight="1">
      <c r="G617" s="5"/>
      <c r="I617" s="6"/>
    </row>
    <row r="618" ht="15.75" customHeight="1">
      <c r="G618" s="5"/>
      <c r="I618" s="6"/>
    </row>
    <row r="619" ht="15.75" customHeight="1">
      <c r="G619" s="5"/>
      <c r="I619" s="6"/>
    </row>
    <row r="620" ht="15.75" customHeight="1">
      <c r="G620" s="5"/>
      <c r="I620" s="6"/>
    </row>
    <row r="621" ht="15.75" customHeight="1">
      <c r="G621" s="5"/>
      <c r="I621" s="6"/>
    </row>
    <row r="622" ht="15.75" customHeight="1">
      <c r="G622" s="5"/>
      <c r="I622" s="6"/>
    </row>
    <row r="623" ht="15.75" customHeight="1">
      <c r="G623" s="5"/>
      <c r="I623" s="6"/>
    </row>
    <row r="624" ht="15.75" customHeight="1">
      <c r="G624" s="5"/>
      <c r="I624" s="6"/>
    </row>
    <row r="625" ht="15.75" customHeight="1">
      <c r="G625" s="5"/>
      <c r="I625" s="6"/>
    </row>
    <row r="626" ht="15.75" customHeight="1">
      <c r="G626" s="5"/>
      <c r="I626" s="6"/>
    </row>
    <row r="627" ht="15.75" customHeight="1">
      <c r="G627" s="5"/>
      <c r="I627" s="6"/>
    </row>
    <row r="628" ht="15.75" customHeight="1">
      <c r="G628" s="5"/>
      <c r="I628" s="6"/>
    </row>
    <row r="629" ht="15.75" customHeight="1">
      <c r="G629" s="5"/>
      <c r="I629" s="6"/>
    </row>
    <row r="630" ht="15.75" customHeight="1">
      <c r="G630" s="5"/>
      <c r="I630" s="6"/>
    </row>
    <row r="631" ht="15.75" customHeight="1">
      <c r="G631" s="5"/>
      <c r="I631" s="6"/>
    </row>
    <row r="632" ht="15.75" customHeight="1">
      <c r="G632" s="5"/>
      <c r="I632" s="6"/>
    </row>
    <row r="633" ht="15.75" customHeight="1">
      <c r="G633" s="5"/>
      <c r="I633" s="6"/>
    </row>
    <row r="634" ht="15.75" customHeight="1">
      <c r="G634" s="5"/>
      <c r="I634" s="6"/>
    </row>
    <row r="635" ht="15.75" customHeight="1">
      <c r="G635" s="5"/>
      <c r="I635" s="6"/>
    </row>
    <row r="636" ht="15.75" customHeight="1">
      <c r="G636" s="5"/>
      <c r="I636" s="6"/>
    </row>
    <row r="637" ht="15.75" customHeight="1">
      <c r="G637" s="5"/>
      <c r="I637" s="6"/>
    </row>
    <row r="638" ht="15.75" customHeight="1">
      <c r="G638" s="5"/>
      <c r="I638" s="6"/>
    </row>
    <row r="639" ht="15.75" customHeight="1">
      <c r="G639" s="5"/>
      <c r="I639" s="6"/>
    </row>
    <row r="640" ht="15.75" customHeight="1">
      <c r="G640" s="5"/>
      <c r="I640" s="6"/>
    </row>
    <row r="641" ht="15.75" customHeight="1">
      <c r="G641" s="5"/>
      <c r="I641" s="6"/>
    </row>
    <row r="642" ht="15.75" customHeight="1">
      <c r="G642" s="5"/>
      <c r="I642" s="6"/>
    </row>
    <row r="643" ht="15.75" customHeight="1">
      <c r="G643" s="5"/>
      <c r="I643" s="6"/>
    </row>
    <row r="644" ht="15.75" customHeight="1">
      <c r="G644" s="5"/>
      <c r="I644" s="6"/>
    </row>
    <row r="645" ht="15.75" customHeight="1">
      <c r="G645" s="5"/>
      <c r="I645" s="6"/>
    </row>
    <row r="646" ht="15.75" customHeight="1">
      <c r="G646" s="5"/>
      <c r="I646" s="6"/>
    </row>
    <row r="647" ht="15.75" customHeight="1">
      <c r="G647" s="5"/>
      <c r="I647" s="6"/>
    </row>
    <row r="648" ht="15.75" customHeight="1">
      <c r="G648" s="5"/>
      <c r="I648" s="6"/>
    </row>
    <row r="649" ht="15.75" customHeight="1">
      <c r="G649" s="5"/>
      <c r="I649" s="6"/>
    </row>
    <row r="650" ht="15.75" customHeight="1">
      <c r="G650" s="5"/>
      <c r="I650" s="6"/>
    </row>
    <row r="651" ht="15.75" customHeight="1">
      <c r="G651" s="5"/>
      <c r="I651" s="6"/>
    </row>
    <row r="652" ht="15.75" customHeight="1">
      <c r="G652" s="5"/>
      <c r="I652" s="6"/>
    </row>
    <row r="653" ht="15.75" customHeight="1">
      <c r="G653" s="5"/>
      <c r="I653" s="6"/>
    </row>
    <row r="654" ht="15.75" customHeight="1">
      <c r="G654" s="5"/>
      <c r="I654" s="6"/>
    </row>
    <row r="655" ht="15.75" customHeight="1">
      <c r="G655" s="5"/>
      <c r="I655" s="6"/>
    </row>
    <row r="656" ht="15.75" customHeight="1">
      <c r="G656" s="5"/>
      <c r="I656" s="6"/>
    </row>
    <row r="657" ht="15.75" customHeight="1">
      <c r="G657" s="5"/>
      <c r="I657" s="6"/>
    </row>
    <row r="658" ht="15.75" customHeight="1">
      <c r="G658" s="5"/>
      <c r="I658" s="6"/>
    </row>
    <row r="659" ht="15.75" customHeight="1">
      <c r="G659" s="5"/>
      <c r="I659" s="6"/>
    </row>
    <row r="660" ht="15.75" customHeight="1">
      <c r="G660" s="5"/>
      <c r="I660" s="6"/>
    </row>
    <row r="661" ht="15.75" customHeight="1">
      <c r="G661" s="5"/>
      <c r="I661" s="6"/>
    </row>
    <row r="662" ht="15.75" customHeight="1">
      <c r="G662" s="5"/>
      <c r="I662" s="6"/>
    </row>
    <row r="663" ht="15.75" customHeight="1">
      <c r="G663" s="5"/>
      <c r="I663" s="6"/>
    </row>
    <row r="664" ht="15.75" customHeight="1">
      <c r="G664" s="5"/>
      <c r="I664" s="6"/>
    </row>
    <row r="665" ht="15.75" customHeight="1">
      <c r="G665" s="5"/>
      <c r="I665" s="6"/>
    </row>
    <row r="666" ht="15.75" customHeight="1">
      <c r="G666" s="5"/>
      <c r="I666" s="6"/>
    </row>
    <row r="667" ht="15.75" customHeight="1">
      <c r="G667" s="5"/>
      <c r="I667" s="6"/>
    </row>
    <row r="668" ht="15.75" customHeight="1">
      <c r="G668" s="5"/>
      <c r="I668" s="6"/>
    </row>
    <row r="669" ht="15.75" customHeight="1">
      <c r="G669" s="5"/>
      <c r="I669" s="6"/>
    </row>
    <row r="670" ht="15.75" customHeight="1">
      <c r="G670" s="5"/>
      <c r="I670" s="6"/>
    </row>
    <row r="671" ht="15.75" customHeight="1">
      <c r="G671" s="5"/>
      <c r="I671" s="6"/>
    </row>
    <row r="672" ht="15.75" customHeight="1">
      <c r="G672" s="5"/>
      <c r="I672" s="6"/>
    </row>
    <row r="673" ht="15.75" customHeight="1">
      <c r="G673" s="5"/>
      <c r="I673" s="6"/>
    </row>
    <row r="674" ht="15.75" customHeight="1">
      <c r="G674" s="5"/>
      <c r="I674" s="6"/>
    </row>
    <row r="675" ht="15.75" customHeight="1">
      <c r="G675" s="5"/>
      <c r="I675" s="6"/>
    </row>
    <row r="676" ht="15.75" customHeight="1">
      <c r="G676" s="5"/>
      <c r="I676" s="6"/>
    </row>
    <row r="677" ht="15.75" customHeight="1">
      <c r="G677" s="5"/>
      <c r="I677" s="6"/>
    </row>
    <row r="678" ht="15.75" customHeight="1">
      <c r="G678" s="5"/>
      <c r="I678" s="6"/>
    </row>
    <row r="679" ht="15.75" customHeight="1">
      <c r="G679" s="5"/>
      <c r="I679" s="6"/>
    </row>
    <row r="680" ht="15.75" customHeight="1">
      <c r="G680" s="5"/>
      <c r="I680" s="6"/>
    </row>
    <row r="681" ht="15.75" customHeight="1">
      <c r="G681" s="5"/>
      <c r="I681" s="6"/>
    </row>
    <row r="682" ht="15.75" customHeight="1">
      <c r="G682" s="5"/>
      <c r="I682" s="6"/>
    </row>
    <row r="683" ht="15.75" customHeight="1">
      <c r="G683" s="5"/>
      <c r="I683" s="6"/>
    </row>
    <row r="684" ht="15.75" customHeight="1">
      <c r="G684" s="5"/>
      <c r="I684" s="6"/>
    </row>
    <row r="685" ht="15.75" customHeight="1">
      <c r="G685" s="5"/>
      <c r="I685" s="6"/>
    </row>
    <row r="686" ht="15.75" customHeight="1">
      <c r="G686" s="5"/>
      <c r="I686" s="6"/>
    </row>
    <row r="687" ht="15.75" customHeight="1">
      <c r="G687" s="5"/>
      <c r="I687" s="6"/>
    </row>
    <row r="688" ht="15.75" customHeight="1">
      <c r="G688" s="5"/>
      <c r="I688" s="6"/>
    </row>
    <row r="689" ht="15.75" customHeight="1">
      <c r="G689" s="5"/>
      <c r="I689" s="6"/>
    </row>
    <row r="690" ht="15.75" customHeight="1">
      <c r="G690" s="5"/>
      <c r="I690" s="6"/>
    </row>
    <row r="691" ht="15.75" customHeight="1">
      <c r="G691" s="5"/>
      <c r="I691" s="6"/>
    </row>
    <row r="692" ht="15.75" customHeight="1">
      <c r="G692" s="5"/>
      <c r="I692" s="6"/>
    </row>
    <row r="693" ht="15.75" customHeight="1">
      <c r="G693" s="5"/>
      <c r="I693" s="6"/>
    </row>
    <row r="694" ht="15.75" customHeight="1">
      <c r="G694" s="5"/>
      <c r="I694" s="6"/>
    </row>
    <row r="695" ht="15.75" customHeight="1">
      <c r="G695" s="5"/>
      <c r="I695" s="6"/>
    </row>
    <row r="696" ht="15.75" customHeight="1">
      <c r="G696" s="5"/>
      <c r="I696" s="6"/>
    </row>
    <row r="697" ht="15.75" customHeight="1">
      <c r="G697" s="5"/>
      <c r="I697" s="6"/>
    </row>
    <row r="698" ht="15.75" customHeight="1">
      <c r="G698" s="5"/>
      <c r="I698" s="6"/>
    </row>
    <row r="699" ht="15.75" customHeight="1">
      <c r="G699" s="5"/>
      <c r="I699" s="6"/>
    </row>
    <row r="700" ht="15.75" customHeight="1">
      <c r="G700" s="5"/>
      <c r="I700" s="6"/>
    </row>
    <row r="701" ht="15.75" customHeight="1">
      <c r="G701" s="5"/>
      <c r="I701" s="6"/>
    </row>
    <row r="702" ht="15.75" customHeight="1">
      <c r="G702" s="5"/>
      <c r="I702" s="6"/>
    </row>
    <row r="703" ht="15.75" customHeight="1">
      <c r="G703" s="5"/>
      <c r="I703" s="6"/>
    </row>
    <row r="704" ht="15.75" customHeight="1">
      <c r="G704" s="5"/>
      <c r="I704" s="6"/>
    </row>
    <row r="705" ht="15.75" customHeight="1">
      <c r="G705" s="5"/>
      <c r="I705" s="6"/>
    </row>
    <row r="706" ht="15.75" customHeight="1">
      <c r="G706" s="5"/>
      <c r="I706" s="6"/>
    </row>
    <row r="707" ht="15.75" customHeight="1">
      <c r="G707" s="5"/>
      <c r="I707" s="6"/>
    </row>
    <row r="708" ht="15.75" customHeight="1">
      <c r="G708" s="5"/>
      <c r="I708" s="6"/>
    </row>
    <row r="709" ht="15.75" customHeight="1">
      <c r="G709" s="5"/>
      <c r="I709" s="6"/>
    </row>
    <row r="710" ht="15.75" customHeight="1">
      <c r="G710" s="5"/>
      <c r="I710" s="6"/>
    </row>
    <row r="711" ht="15.75" customHeight="1">
      <c r="G711" s="5"/>
      <c r="I711" s="6"/>
    </row>
    <row r="712" ht="15.75" customHeight="1">
      <c r="G712" s="5"/>
      <c r="I712" s="6"/>
    </row>
    <row r="713" ht="15.75" customHeight="1">
      <c r="G713" s="5"/>
      <c r="I713" s="6"/>
    </row>
    <row r="714" ht="15.75" customHeight="1">
      <c r="G714" s="5"/>
      <c r="I714" s="6"/>
    </row>
    <row r="715" ht="15.75" customHeight="1">
      <c r="G715" s="5"/>
      <c r="I715" s="6"/>
    </row>
    <row r="716" ht="15.75" customHeight="1">
      <c r="G716" s="5"/>
      <c r="I716" s="6"/>
    </row>
    <row r="717" ht="15.75" customHeight="1">
      <c r="G717" s="5"/>
      <c r="I717" s="6"/>
    </row>
    <row r="718" ht="15.75" customHeight="1">
      <c r="G718" s="5"/>
      <c r="I718" s="6"/>
    </row>
    <row r="719" ht="15.75" customHeight="1">
      <c r="G719" s="5"/>
      <c r="I719" s="6"/>
    </row>
    <row r="720" ht="15.75" customHeight="1">
      <c r="G720" s="5"/>
      <c r="I720" s="6"/>
    </row>
    <row r="721" ht="15.75" customHeight="1">
      <c r="G721" s="5"/>
      <c r="I721" s="6"/>
    </row>
    <row r="722" ht="15.75" customHeight="1">
      <c r="G722" s="5"/>
      <c r="I722" s="6"/>
    </row>
    <row r="723" ht="15.75" customHeight="1">
      <c r="G723" s="5"/>
      <c r="I723" s="6"/>
    </row>
    <row r="724" ht="15.75" customHeight="1">
      <c r="G724" s="5"/>
      <c r="I724" s="6"/>
    </row>
    <row r="725" ht="15.75" customHeight="1">
      <c r="G725" s="5"/>
      <c r="I725" s="6"/>
    </row>
    <row r="726" ht="15.75" customHeight="1">
      <c r="G726" s="5"/>
      <c r="I726" s="6"/>
    </row>
    <row r="727" ht="15.75" customHeight="1">
      <c r="G727" s="5"/>
      <c r="I727" s="6"/>
    </row>
    <row r="728" ht="15.75" customHeight="1">
      <c r="G728" s="5"/>
      <c r="I728" s="6"/>
    </row>
    <row r="729" ht="15.75" customHeight="1">
      <c r="G729" s="5"/>
      <c r="I729" s="6"/>
    </row>
    <row r="730" ht="15.75" customHeight="1">
      <c r="G730" s="5"/>
      <c r="I730" s="6"/>
    </row>
    <row r="731" ht="15.75" customHeight="1">
      <c r="G731" s="5"/>
      <c r="I731" s="6"/>
    </row>
    <row r="732" ht="15.75" customHeight="1">
      <c r="G732" s="5"/>
      <c r="I732" s="6"/>
    </row>
    <row r="733" ht="15.75" customHeight="1">
      <c r="G733" s="5"/>
      <c r="I733" s="6"/>
    </row>
    <row r="734" ht="15.75" customHeight="1">
      <c r="G734" s="5"/>
      <c r="I734" s="6"/>
    </row>
    <row r="735" ht="15.75" customHeight="1">
      <c r="G735" s="5"/>
      <c r="I735" s="6"/>
    </row>
    <row r="736" ht="15.75" customHeight="1">
      <c r="G736" s="5"/>
      <c r="I736" s="6"/>
    </row>
    <row r="737" ht="15.75" customHeight="1">
      <c r="G737" s="5"/>
      <c r="I737" s="6"/>
    </row>
    <row r="738" ht="15.75" customHeight="1">
      <c r="G738" s="5"/>
      <c r="I738" s="6"/>
    </row>
    <row r="739" ht="15.75" customHeight="1">
      <c r="G739" s="5"/>
      <c r="I739" s="6"/>
    </row>
    <row r="740" ht="15.75" customHeight="1">
      <c r="G740" s="5"/>
      <c r="I740" s="6"/>
    </row>
    <row r="741" ht="15.75" customHeight="1">
      <c r="G741" s="5"/>
      <c r="I741" s="6"/>
    </row>
    <row r="742" ht="15.75" customHeight="1">
      <c r="G742" s="5"/>
      <c r="I742" s="6"/>
    </row>
    <row r="743" ht="15.75" customHeight="1">
      <c r="G743" s="5"/>
      <c r="I743" s="6"/>
    </row>
    <row r="744" ht="15.75" customHeight="1">
      <c r="G744" s="5"/>
      <c r="I744" s="6"/>
    </row>
    <row r="745" ht="15.75" customHeight="1">
      <c r="G745" s="5"/>
      <c r="I745" s="6"/>
    </row>
    <row r="746" ht="15.75" customHeight="1">
      <c r="G746" s="5"/>
      <c r="I746" s="6"/>
    </row>
    <row r="747" ht="15.75" customHeight="1">
      <c r="G747" s="5"/>
      <c r="I747" s="6"/>
    </row>
    <row r="748" ht="15.75" customHeight="1">
      <c r="G748" s="5"/>
      <c r="I748" s="6"/>
    </row>
    <row r="749" ht="15.75" customHeight="1">
      <c r="G749" s="5"/>
      <c r="I749" s="6"/>
    </row>
    <row r="750" ht="15.75" customHeight="1">
      <c r="G750" s="5"/>
      <c r="I750" s="6"/>
    </row>
    <row r="751" ht="15.75" customHeight="1">
      <c r="G751" s="5"/>
      <c r="I751" s="6"/>
    </row>
    <row r="752" ht="15.75" customHeight="1">
      <c r="G752" s="5"/>
      <c r="I752" s="6"/>
    </row>
    <row r="753" ht="15.75" customHeight="1">
      <c r="G753" s="5"/>
      <c r="I753" s="6"/>
    </row>
    <row r="754" ht="15.75" customHeight="1">
      <c r="G754" s="5"/>
      <c r="I754" s="6"/>
    </row>
    <row r="755" ht="15.75" customHeight="1">
      <c r="G755" s="5"/>
      <c r="I755" s="6"/>
    </row>
    <row r="756" ht="15.75" customHeight="1">
      <c r="G756" s="5"/>
      <c r="I756" s="6"/>
    </row>
    <row r="757" ht="15.75" customHeight="1">
      <c r="G757" s="5"/>
      <c r="I757" s="6"/>
    </row>
    <row r="758" ht="15.75" customHeight="1">
      <c r="G758" s="5"/>
      <c r="I758" s="6"/>
    </row>
    <row r="759" ht="15.75" customHeight="1">
      <c r="G759" s="5"/>
      <c r="I759" s="6"/>
    </row>
    <row r="760" ht="15.75" customHeight="1">
      <c r="G760" s="5"/>
      <c r="I760" s="6"/>
    </row>
    <row r="761" ht="15.75" customHeight="1">
      <c r="G761" s="5"/>
      <c r="I761" s="6"/>
    </row>
    <row r="762" ht="15.75" customHeight="1">
      <c r="G762" s="5"/>
      <c r="I762" s="6"/>
    </row>
    <row r="763" ht="15.75" customHeight="1">
      <c r="G763" s="5"/>
      <c r="I763" s="6"/>
    </row>
    <row r="764" ht="15.75" customHeight="1">
      <c r="G764" s="5"/>
      <c r="I764" s="6"/>
    </row>
    <row r="765" ht="15.75" customHeight="1">
      <c r="G765" s="5"/>
      <c r="I765" s="6"/>
    </row>
    <row r="766" ht="15.75" customHeight="1">
      <c r="G766" s="5"/>
      <c r="I766" s="6"/>
    </row>
    <row r="767" ht="15.75" customHeight="1">
      <c r="G767" s="5"/>
      <c r="I767" s="6"/>
    </row>
    <row r="768" ht="15.75" customHeight="1">
      <c r="G768" s="5"/>
      <c r="I768" s="6"/>
    </row>
    <row r="769" ht="15.75" customHeight="1">
      <c r="G769" s="5"/>
      <c r="I769" s="6"/>
    </row>
    <row r="770" ht="15.75" customHeight="1">
      <c r="G770" s="5"/>
      <c r="I770" s="6"/>
    </row>
    <row r="771" ht="15.75" customHeight="1">
      <c r="G771" s="5"/>
      <c r="I771" s="6"/>
    </row>
    <row r="772" ht="15.75" customHeight="1">
      <c r="G772" s="5"/>
      <c r="I772" s="6"/>
    </row>
    <row r="773" ht="15.75" customHeight="1">
      <c r="G773" s="5"/>
      <c r="I773" s="6"/>
    </row>
    <row r="774" ht="15.75" customHeight="1">
      <c r="G774" s="5"/>
      <c r="I774" s="6"/>
    </row>
    <row r="775" ht="15.75" customHeight="1">
      <c r="G775" s="5"/>
      <c r="I775" s="6"/>
    </row>
    <row r="776" ht="15.75" customHeight="1">
      <c r="G776" s="5"/>
      <c r="I776" s="6"/>
    </row>
    <row r="777" ht="15.75" customHeight="1">
      <c r="G777" s="5"/>
      <c r="I777" s="6"/>
    </row>
    <row r="778" ht="15.75" customHeight="1">
      <c r="G778" s="5"/>
      <c r="I778" s="6"/>
    </row>
    <row r="779" ht="15.75" customHeight="1">
      <c r="G779" s="5"/>
      <c r="I779" s="6"/>
    </row>
    <row r="780" ht="15.75" customHeight="1">
      <c r="G780" s="5"/>
      <c r="I780" s="6"/>
    </row>
    <row r="781" ht="15.75" customHeight="1">
      <c r="G781" s="5"/>
      <c r="I781" s="6"/>
    </row>
    <row r="782" ht="15.75" customHeight="1">
      <c r="G782" s="5"/>
      <c r="I782" s="6"/>
    </row>
    <row r="783" ht="15.75" customHeight="1">
      <c r="G783" s="5"/>
      <c r="I783" s="6"/>
    </row>
    <row r="784" ht="15.75" customHeight="1">
      <c r="G784" s="5"/>
      <c r="I784" s="6"/>
    </row>
    <row r="785" ht="15.75" customHeight="1">
      <c r="G785" s="5"/>
      <c r="I785" s="6"/>
    </row>
    <row r="786" ht="15.75" customHeight="1">
      <c r="G786" s="5"/>
      <c r="I786" s="6"/>
    </row>
    <row r="787" ht="15.75" customHeight="1">
      <c r="G787" s="5"/>
      <c r="I787" s="6"/>
    </row>
    <row r="788" ht="15.75" customHeight="1">
      <c r="G788" s="5"/>
      <c r="I788" s="6"/>
    </row>
    <row r="789" ht="15.75" customHeight="1">
      <c r="G789" s="5"/>
      <c r="I789" s="6"/>
    </row>
    <row r="790" ht="15.75" customHeight="1">
      <c r="G790" s="5"/>
      <c r="I790" s="6"/>
    </row>
    <row r="791" ht="15.75" customHeight="1">
      <c r="G791" s="5"/>
      <c r="I791" s="6"/>
    </row>
    <row r="792" ht="15.75" customHeight="1">
      <c r="G792" s="5"/>
      <c r="I792" s="6"/>
    </row>
    <row r="793" ht="15.75" customHeight="1">
      <c r="G793" s="5"/>
      <c r="I793" s="6"/>
    </row>
    <row r="794" ht="15.75" customHeight="1">
      <c r="G794" s="5"/>
      <c r="I794" s="6"/>
    </row>
    <row r="795" ht="15.75" customHeight="1">
      <c r="G795" s="5"/>
      <c r="I795" s="6"/>
    </row>
    <row r="796" ht="15.75" customHeight="1">
      <c r="G796" s="5"/>
      <c r="I796" s="6"/>
    </row>
    <row r="797" ht="15.75" customHeight="1">
      <c r="G797" s="5"/>
      <c r="I797" s="6"/>
    </row>
    <row r="798" ht="15.75" customHeight="1">
      <c r="G798" s="5"/>
      <c r="I798" s="6"/>
    </row>
    <row r="799" ht="15.75" customHeight="1">
      <c r="G799" s="5"/>
      <c r="I799" s="6"/>
    </row>
    <row r="800" ht="15.75" customHeight="1">
      <c r="G800" s="5"/>
      <c r="I800" s="6"/>
    </row>
    <row r="801" ht="15.75" customHeight="1">
      <c r="G801" s="5"/>
      <c r="I801" s="6"/>
    </row>
    <row r="802" ht="15.75" customHeight="1">
      <c r="G802" s="5"/>
      <c r="I802" s="6"/>
    </row>
    <row r="803" ht="15.75" customHeight="1">
      <c r="G803" s="5"/>
      <c r="I803" s="6"/>
    </row>
    <row r="804" ht="15.75" customHeight="1">
      <c r="G804" s="5"/>
      <c r="I804" s="6"/>
    </row>
    <row r="805" ht="15.75" customHeight="1">
      <c r="G805" s="5"/>
      <c r="I805" s="6"/>
    </row>
    <row r="806" ht="15.75" customHeight="1">
      <c r="G806" s="5"/>
      <c r="I806" s="6"/>
    </row>
    <row r="807" ht="15.75" customHeight="1">
      <c r="G807" s="5"/>
      <c r="I807" s="6"/>
    </row>
    <row r="808" ht="15.75" customHeight="1">
      <c r="G808" s="5"/>
      <c r="I808" s="6"/>
    </row>
    <row r="809" ht="15.75" customHeight="1">
      <c r="G809" s="5"/>
      <c r="I809" s="6"/>
    </row>
    <row r="810" ht="15.75" customHeight="1">
      <c r="G810" s="5"/>
      <c r="I810" s="6"/>
    </row>
    <row r="811" ht="15.75" customHeight="1">
      <c r="G811" s="5"/>
      <c r="I811" s="6"/>
    </row>
    <row r="812" ht="15.75" customHeight="1">
      <c r="G812" s="5"/>
      <c r="I812" s="6"/>
    </row>
    <row r="813" ht="15.75" customHeight="1">
      <c r="G813" s="5"/>
      <c r="I813" s="6"/>
    </row>
    <row r="814" ht="15.75" customHeight="1">
      <c r="G814" s="5"/>
      <c r="I814" s="6"/>
    </row>
    <row r="815" ht="15.75" customHeight="1">
      <c r="G815" s="5"/>
      <c r="I815" s="6"/>
    </row>
    <row r="816" ht="15.75" customHeight="1">
      <c r="G816" s="5"/>
      <c r="I816" s="6"/>
    </row>
    <row r="817" ht="15.75" customHeight="1">
      <c r="G817" s="5"/>
      <c r="I817" s="6"/>
    </row>
    <row r="818" ht="15.75" customHeight="1">
      <c r="G818" s="5"/>
      <c r="I818" s="6"/>
    </row>
    <row r="819" ht="15.75" customHeight="1">
      <c r="G819" s="5"/>
      <c r="I819" s="6"/>
    </row>
    <row r="820" ht="15.75" customHeight="1">
      <c r="G820" s="5"/>
      <c r="I820" s="6"/>
    </row>
    <row r="821" ht="15.75" customHeight="1">
      <c r="G821" s="5"/>
      <c r="I821" s="6"/>
    </row>
    <row r="822" ht="15.75" customHeight="1">
      <c r="G822" s="5"/>
      <c r="I822" s="6"/>
    </row>
    <row r="823" ht="15.75" customHeight="1">
      <c r="G823" s="5"/>
      <c r="I823" s="6"/>
    </row>
    <row r="824" ht="15.75" customHeight="1">
      <c r="G824" s="5"/>
      <c r="I824" s="6"/>
    </row>
    <row r="825" ht="15.75" customHeight="1">
      <c r="G825" s="5"/>
      <c r="I825" s="6"/>
    </row>
    <row r="826" ht="15.75" customHeight="1">
      <c r="G826" s="5"/>
      <c r="I826" s="6"/>
    </row>
    <row r="827" ht="15.75" customHeight="1">
      <c r="G827" s="5"/>
      <c r="I827" s="6"/>
    </row>
    <row r="828" ht="15.75" customHeight="1">
      <c r="G828" s="5"/>
      <c r="I828" s="6"/>
    </row>
    <row r="829" ht="15.75" customHeight="1">
      <c r="G829" s="5"/>
      <c r="I829" s="6"/>
    </row>
    <row r="830" ht="15.75" customHeight="1">
      <c r="G830" s="5"/>
      <c r="I830" s="6"/>
    </row>
    <row r="831" ht="15.75" customHeight="1">
      <c r="G831" s="5"/>
      <c r="I831" s="6"/>
    </row>
    <row r="832" ht="15.75" customHeight="1">
      <c r="G832" s="5"/>
      <c r="I832" s="6"/>
    </row>
    <row r="833" ht="15.75" customHeight="1">
      <c r="G833" s="5"/>
      <c r="I833" s="6"/>
    </row>
    <row r="834" ht="15.75" customHeight="1">
      <c r="G834" s="5"/>
      <c r="I834" s="6"/>
    </row>
    <row r="835" ht="15.75" customHeight="1">
      <c r="G835" s="5"/>
      <c r="I835" s="6"/>
    </row>
    <row r="836" ht="15.75" customHeight="1">
      <c r="G836" s="5"/>
      <c r="I836" s="6"/>
    </row>
    <row r="837" ht="15.75" customHeight="1">
      <c r="G837" s="5"/>
      <c r="I837" s="6"/>
    </row>
    <row r="838" ht="15.75" customHeight="1">
      <c r="G838" s="5"/>
      <c r="I838" s="6"/>
    </row>
    <row r="839" ht="15.75" customHeight="1">
      <c r="G839" s="5"/>
      <c r="I839" s="6"/>
    </row>
    <row r="840" ht="15.75" customHeight="1">
      <c r="G840" s="5"/>
      <c r="I840" s="6"/>
    </row>
    <row r="841" ht="15.75" customHeight="1">
      <c r="G841" s="5"/>
      <c r="I841" s="6"/>
    </row>
    <row r="842" ht="15.75" customHeight="1">
      <c r="G842" s="5"/>
      <c r="I842" s="6"/>
    </row>
    <row r="843" ht="15.75" customHeight="1">
      <c r="G843" s="5"/>
      <c r="I843" s="6"/>
    </row>
    <row r="844" ht="15.75" customHeight="1">
      <c r="G844" s="5"/>
      <c r="I844" s="6"/>
    </row>
    <row r="845" ht="15.75" customHeight="1">
      <c r="G845" s="5"/>
      <c r="I845" s="6"/>
    </row>
    <row r="846" ht="15.75" customHeight="1">
      <c r="G846" s="5"/>
      <c r="I846" s="6"/>
    </row>
    <row r="847" ht="15.75" customHeight="1">
      <c r="G847" s="5"/>
      <c r="I847" s="6"/>
    </row>
    <row r="848" ht="15.75" customHeight="1">
      <c r="G848" s="5"/>
      <c r="I848" s="6"/>
    </row>
    <row r="849" ht="15.75" customHeight="1">
      <c r="G849" s="5"/>
      <c r="I849" s="6"/>
    </row>
    <row r="850" ht="15.75" customHeight="1">
      <c r="G850" s="5"/>
      <c r="I850" s="6"/>
    </row>
    <row r="851" ht="15.75" customHeight="1">
      <c r="G851" s="5"/>
      <c r="I851" s="6"/>
    </row>
    <row r="852" ht="15.75" customHeight="1">
      <c r="G852" s="5"/>
      <c r="I852" s="6"/>
    </row>
    <row r="853" ht="15.75" customHeight="1">
      <c r="G853" s="5"/>
      <c r="I853" s="6"/>
    </row>
    <row r="854" ht="15.75" customHeight="1">
      <c r="G854" s="5"/>
      <c r="I854" s="6"/>
    </row>
    <row r="855" ht="15.75" customHeight="1">
      <c r="G855" s="5"/>
      <c r="I855" s="6"/>
    </row>
    <row r="856" ht="15.75" customHeight="1">
      <c r="G856" s="5"/>
      <c r="I856" s="6"/>
    </row>
    <row r="857" ht="15.75" customHeight="1">
      <c r="G857" s="5"/>
      <c r="I857" s="6"/>
    </row>
    <row r="858" ht="15.75" customHeight="1">
      <c r="G858" s="5"/>
      <c r="I858" s="6"/>
    </row>
    <row r="859" ht="15.75" customHeight="1">
      <c r="G859" s="5"/>
      <c r="I859" s="6"/>
    </row>
    <row r="860" ht="15.75" customHeight="1">
      <c r="G860" s="5"/>
      <c r="I860" s="6"/>
    </row>
    <row r="861" ht="15.75" customHeight="1">
      <c r="G861" s="5"/>
      <c r="I861" s="6"/>
    </row>
    <row r="862" ht="15.75" customHeight="1">
      <c r="G862" s="5"/>
      <c r="I862" s="6"/>
    </row>
    <row r="863" ht="15.75" customHeight="1">
      <c r="G863" s="5"/>
      <c r="I863" s="6"/>
    </row>
    <row r="864" ht="15.75" customHeight="1">
      <c r="G864" s="5"/>
      <c r="I864" s="6"/>
    </row>
    <row r="865" ht="15.75" customHeight="1">
      <c r="G865" s="5"/>
      <c r="I865" s="6"/>
    </row>
    <row r="866" ht="15.75" customHeight="1">
      <c r="G866" s="5"/>
      <c r="I866" s="6"/>
    </row>
    <row r="867" ht="15.75" customHeight="1">
      <c r="G867" s="5"/>
      <c r="I867" s="6"/>
    </row>
    <row r="868" ht="15.75" customHeight="1">
      <c r="G868" s="5"/>
      <c r="I868" s="6"/>
    </row>
    <row r="869" ht="15.75" customHeight="1">
      <c r="G869" s="5"/>
      <c r="I869" s="6"/>
    </row>
    <row r="870" ht="15.75" customHeight="1">
      <c r="G870" s="5"/>
      <c r="I870" s="6"/>
    </row>
    <row r="871" ht="15.75" customHeight="1">
      <c r="G871" s="5"/>
      <c r="I871" s="6"/>
    </row>
    <row r="872" ht="15.75" customHeight="1">
      <c r="G872" s="5"/>
      <c r="I872" s="6"/>
    </row>
    <row r="873" ht="15.75" customHeight="1">
      <c r="G873" s="5"/>
      <c r="I873" s="6"/>
    </row>
    <row r="874" ht="15.75" customHeight="1">
      <c r="G874" s="5"/>
      <c r="I874" s="6"/>
    </row>
    <row r="875" ht="15.75" customHeight="1">
      <c r="G875" s="5"/>
      <c r="I875" s="6"/>
    </row>
    <row r="876" ht="15.75" customHeight="1">
      <c r="G876" s="5"/>
      <c r="I876" s="6"/>
    </row>
    <row r="877" ht="15.75" customHeight="1">
      <c r="G877" s="5"/>
      <c r="I877" s="6"/>
    </row>
    <row r="878" ht="15.75" customHeight="1">
      <c r="G878" s="5"/>
      <c r="I878" s="6"/>
    </row>
    <row r="879" ht="15.75" customHeight="1">
      <c r="G879" s="5"/>
      <c r="I879" s="6"/>
    </row>
    <row r="880" ht="15.75" customHeight="1">
      <c r="G880" s="5"/>
      <c r="I880" s="6"/>
    </row>
    <row r="881" ht="15.75" customHeight="1">
      <c r="G881" s="5"/>
      <c r="I881" s="6"/>
    </row>
    <row r="882" ht="15.75" customHeight="1">
      <c r="G882" s="5"/>
      <c r="I882" s="6"/>
    </row>
    <row r="883" ht="15.75" customHeight="1">
      <c r="G883" s="5"/>
      <c r="I883" s="6"/>
    </row>
    <row r="884" ht="15.75" customHeight="1">
      <c r="G884" s="5"/>
      <c r="I884" s="6"/>
    </row>
    <row r="885" ht="15.75" customHeight="1">
      <c r="G885" s="5"/>
      <c r="I885" s="6"/>
    </row>
    <row r="886" ht="15.75" customHeight="1">
      <c r="G886" s="5"/>
      <c r="I886" s="6"/>
    </row>
    <row r="887" ht="15.75" customHeight="1">
      <c r="G887" s="5"/>
      <c r="I887" s="6"/>
    </row>
    <row r="888" ht="15.75" customHeight="1">
      <c r="G888" s="5"/>
      <c r="I888" s="6"/>
    </row>
    <row r="889" ht="15.75" customHeight="1">
      <c r="G889" s="5"/>
      <c r="I889" s="6"/>
    </row>
    <row r="890" ht="15.75" customHeight="1">
      <c r="G890" s="5"/>
      <c r="I890" s="6"/>
    </row>
    <row r="891" ht="15.75" customHeight="1">
      <c r="G891" s="5"/>
      <c r="I891" s="6"/>
    </row>
    <row r="892" ht="15.75" customHeight="1">
      <c r="G892" s="5"/>
      <c r="I892" s="6"/>
    </row>
    <row r="893" ht="15.75" customHeight="1">
      <c r="G893" s="5"/>
      <c r="I893" s="6"/>
    </row>
    <row r="894" ht="15.75" customHeight="1">
      <c r="G894" s="5"/>
      <c r="I894" s="6"/>
    </row>
    <row r="895" ht="15.75" customHeight="1">
      <c r="G895" s="5"/>
      <c r="I895" s="6"/>
    </row>
    <row r="896" ht="15.75" customHeight="1">
      <c r="G896" s="5"/>
      <c r="I896" s="6"/>
    </row>
    <row r="897" ht="15.75" customHeight="1">
      <c r="G897" s="5"/>
      <c r="I897" s="6"/>
    </row>
    <row r="898" ht="15.75" customHeight="1">
      <c r="G898" s="5"/>
      <c r="I898" s="6"/>
    </row>
    <row r="899" ht="15.75" customHeight="1">
      <c r="G899" s="5"/>
      <c r="I899" s="6"/>
    </row>
    <row r="900" ht="15.75" customHeight="1">
      <c r="G900" s="5"/>
      <c r="I900" s="6"/>
    </row>
    <row r="901" ht="15.75" customHeight="1">
      <c r="G901" s="5"/>
      <c r="I901" s="6"/>
    </row>
    <row r="902" ht="15.75" customHeight="1">
      <c r="G902" s="5"/>
      <c r="I902" s="6"/>
    </row>
    <row r="903" ht="15.75" customHeight="1">
      <c r="G903" s="5"/>
      <c r="I903" s="6"/>
    </row>
    <row r="904" ht="15.75" customHeight="1">
      <c r="G904" s="5"/>
      <c r="I904" s="6"/>
    </row>
    <row r="905" ht="15.75" customHeight="1">
      <c r="G905" s="5"/>
      <c r="I905" s="6"/>
    </row>
    <row r="906" ht="15.75" customHeight="1">
      <c r="G906" s="5"/>
      <c r="I906" s="6"/>
    </row>
    <row r="907" ht="15.75" customHeight="1">
      <c r="G907" s="5"/>
      <c r="I907" s="6"/>
    </row>
    <row r="908" ht="15.75" customHeight="1">
      <c r="G908" s="5"/>
      <c r="I908" s="6"/>
    </row>
    <row r="909" ht="15.75" customHeight="1">
      <c r="G909" s="5"/>
      <c r="I909" s="6"/>
    </row>
    <row r="910" ht="15.75" customHeight="1">
      <c r="G910" s="5"/>
      <c r="I910" s="6"/>
    </row>
    <row r="911" ht="15.75" customHeight="1">
      <c r="G911" s="5"/>
      <c r="I911" s="6"/>
    </row>
    <row r="912" ht="15.75" customHeight="1">
      <c r="G912" s="5"/>
      <c r="I912" s="6"/>
    </row>
    <row r="913" ht="15.75" customHeight="1">
      <c r="G913" s="5"/>
      <c r="I913" s="6"/>
    </row>
    <row r="914" ht="15.75" customHeight="1">
      <c r="G914" s="5"/>
      <c r="I914" s="6"/>
    </row>
    <row r="915" ht="15.75" customHeight="1">
      <c r="G915" s="5"/>
      <c r="I915" s="6"/>
    </row>
    <row r="916" ht="15.75" customHeight="1">
      <c r="G916" s="5"/>
      <c r="I916" s="6"/>
    </row>
    <row r="917" ht="15.75" customHeight="1">
      <c r="G917" s="5"/>
      <c r="I917" s="6"/>
    </row>
    <row r="918" ht="15.75" customHeight="1">
      <c r="G918" s="5"/>
      <c r="I918" s="6"/>
    </row>
    <row r="919" ht="15.75" customHeight="1">
      <c r="G919" s="5"/>
      <c r="I919" s="6"/>
    </row>
    <row r="920" ht="15.75" customHeight="1">
      <c r="G920" s="5"/>
      <c r="I920" s="6"/>
    </row>
    <row r="921" ht="15.75" customHeight="1">
      <c r="G921" s="5"/>
      <c r="I921" s="6"/>
    </row>
    <row r="922" ht="15.75" customHeight="1">
      <c r="G922" s="5"/>
      <c r="I922" s="6"/>
    </row>
    <row r="923" ht="15.75" customHeight="1">
      <c r="G923" s="5"/>
      <c r="I923" s="6"/>
    </row>
    <row r="924" ht="15.75" customHeight="1">
      <c r="G924" s="5"/>
      <c r="I924" s="6"/>
    </row>
    <row r="925" ht="15.75" customHeight="1">
      <c r="G925" s="5"/>
      <c r="I925" s="6"/>
    </row>
    <row r="926" ht="15.75" customHeight="1">
      <c r="G926" s="5"/>
      <c r="I926" s="6"/>
    </row>
    <row r="927" ht="15.75" customHeight="1">
      <c r="G927" s="5"/>
      <c r="I927" s="6"/>
    </row>
    <row r="928" ht="15.75" customHeight="1">
      <c r="G928" s="5"/>
      <c r="I928" s="6"/>
    </row>
    <row r="929" ht="15.75" customHeight="1">
      <c r="G929" s="5"/>
      <c r="I929" s="6"/>
    </row>
    <row r="930" ht="15.75" customHeight="1">
      <c r="G930" s="5"/>
      <c r="I930" s="6"/>
    </row>
    <row r="931" ht="15.75" customHeight="1">
      <c r="G931" s="5"/>
      <c r="I931" s="6"/>
    </row>
    <row r="932" ht="15.75" customHeight="1">
      <c r="G932" s="5"/>
      <c r="I932" s="6"/>
    </row>
    <row r="933" ht="15.75" customHeight="1">
      <c r="G933" s="5"/>
      <c r="I933" s="6"/>
    </row>
    <row r="934" ht="15.75" customHeight="1">
      <c r="G934" s="5"/>
      <c r="I934" s="6"/>
    </row>
    <row r="935" ht="15.75" customHeight="1">
      <c r="G935" s="5"/>
      <c r="I935" s="6"/>
    </row>
    <row r="936" ht="15.75" customHeight="1">
      <c r="G936" s="5"/>
      <c r="I936" s="6"/>
    </row>
    <row r="937" ht="15.75" customHeight="1">
      <c r="G937" s="5"/>
      <c r="I937" s="6"/>
    </row>
    <row r="938" ht="15.75" customHeight="1">
      <c r="G938" s="5"/>
      <c r="I938" s="6"/>
    </row>
    <row r="939" ht="15.75" customHeight="1">
      <c r="G939" s="5"/>
      <c r="I939" s="6"/>
    </row>
    <row r="940" ht="15.75" customHeight="1">
      <c r="G940" s="5"/>
      <c r="I940" s="6"/>
    </row>
    <row r="941" ht="15.75" customHeight="1">
      <c r="G941" s="5"/>
      <c r="I941" s="6"/>
    </row>
    <row r="942" ht="15.75" customHeight="1">
      <c r="G942" s="5"/>
      <c r="I942" s="6"/>
    </row>
    <row r="943" ht="15.75" customHeight="1">
      <c r="G943" s="5"/>
      <c r="I943" s="6"/>
    </row>
    <row r="944" ht="15.75" customHeight="1">
      <c r="G944" s="5"/>
      <c r="I944" s="6"/>
    </row>
    <row r="945" ht="15.75" customHeight="1">
      <c r="G945" s="5"/>
      <c r="I945" s="6"/>
    </row>
    <row r="946" ht="15.75" customHeight="1">
      <c r="G946" s="5"/>
      <c r="I946" s="6"/>
    </row>
    <row r="947" ht="15.75" customHeight="1">
      <c r="G947" s="5"/>
      <c r="I947" s="6"/>
    </row>
    <row r="948" ht="15.75" customHeight="1">
      <c r="G948" s="5"/>
      <c r="I948" s="6"/>
    </row>
    <row r="949" ht="15.75" customHeight="1">
      <c r="G949" s="5"/>
      <c r="I949" s="6"/>
    </row>
    <row r="950" ht="15.75" customHeight="1">
      <c r="G950" s="5"/>
      <c r="I950" s="6"/>
    </row>
    <row r="951" ht="15.75" customHeight="1">
      <c r="G951" s="5"/>
      <c r="I951" s="6"/>
    </row>
    <row r="952" ht="15.75" customHeight="1">
      <c r="G952" s="5"/>
      <c r="I952" s="6"/>
    </row>
    <row r="953" ht="15.75" customHeight="1">
      <c r="G953" s="5"/>
      <c r="I953" s="6"/>
    </row>
    <row r="954" ht="15.75" customHeight="1">
      <c r="G954" s="5"/>
      <c r="I954" s="6"/>
    </row>
    <row r="955" ht="15.75" customHeight="1">
      <c r="G955" s="5"/>
      <c r="I955" s="6"/>
    </row>
    <row r="956" ht="15.75" customHeight="1">
      <c r="G956" s="5"/>
      <c r="I956" s="6"/>
    </row>
    <row r="957" ht="15.75" customHeight="1">
      <c r="G957" s="5"/>
      <c r="I957" s="6"/>
    </row>
    <row r="958" ht="15.75" customHeight="1">
      <c r="G958" s="5"/>
      <c r="I958" s="6"/>
    </row>
    <row r="959" ht="15.75" customHeight="1">
      <c r="G959" s="5"/>
      <c r="I959" s="6"/>
    </row>
    <row r="960" ht="15.75" customHeight="1">
      <c r="G960" s="5"/>
      <c r="I960" s="6"/>
    </row>
    <row r="961" ht="15.75" customHeight="1">
      <c r="G961" s="5"/>
      <c r="I961" s="6"/>
    </row>
    <row r="962" ht="15.75" customHeight="1">
      <c r="G962" s="5"/>
      <c r="I962" s="6"/>
    </row>
    <row r="963" ht="15.75" customHeight="1">
      <c r="G963" s="5"/>
      <c r="I963" s="6"/>
    </row>
    <row r="964" ht="15.75" customHeight="1">
      <c r="G964" s="5"/>
      <c r="I964" s="6"/>
    </row>
    <row r="965" ht="15.75" customHeight="1">
      <c r="G965" s="5"/>
      <c r="I965" s="6"/>
    </row>
    <row r="966" ht="15.75" customHeight="1">
      <c r="G966" s="5"/>
      <c r="I966" s="6"/>
    </row>
    <row r="967" ht="15.75" customHeight="1">
      <c r="G967" s="5"/>
      <c r="I967" s="6"/>
    </row>
    <row r="968" ht="15.75" customHeight="1">
      <c r="G968" s="5"/>
      <c r="I968" s="6"/>
    </row>
    <row r="969" ht="15.75" customHeight="1">
      <c r="G969" s="5"/>
      <c r="I969" s="6"/>
    </row>
    <row r="970" ht="15.75" customHeight="1">
      <c r="G970" s="5"/>
      <c r="I970" s="6"/>
    </row>
    <row r="971" ht="15.75" customHeight="1">
      <c r="G971" s="5"/>
      <c r="I971" s="6"/>
    </row>
    <row r="972" ht="15.75" customHeight="1">
      <c r="G972" s="5"/>
      <c r="I972" s="6"/>
    </row>
    <row r="973" ht="15.75" customHeight="1">
      <c r="G973" s="5"/>
      <c r="I973" s="6"/>
    </row>
    <row r="974" ht="15.75" customHeight="1">
      <c r="G974" s="5"/>
      <c r="I974" s="6"/>
    </row>
    <row r="975" ht="15.75" customHeight="1">
      <c r="G975" s="5"/>
      <c r="I975" s="6"/>
    </row>
    <row r="976" ht="15.75" customHeight="1">
      <c r="G976" s="5"/>
      <c r="I976" s="6"/>
    </row>
    <row r="977" ht="15.75" customHeight="1">
      <c r="G977" s="5"/>
      <c r="I977" s="6"/>
    </row>
    <row r="978" ht="15.75" customHeight="1">
      <c r="G978" s="5"/>
      <c r="I978" s="6"/>
    </row>
    <row r="979" ht="15.75" customHeight="1">
      <c r="G979" s="5"/>
      <c r="I979" s="6"/>
    </row>
    <row r="980" ht="15.75" customHeight="1">
      <c r="G980" s="5"/>
      <c r="I980" s="6"/>
    </row>
    <row r="981" ht="15.75" customHeight="1">
      <c r="G981" s="5"/>
      <c r="I981" s="6"/>
    </row>
    <row r="982" ht="15.75" customHeight="1">
      <c r="G982" s="5"/>
      <c r="I982" s="6"/>
    </row>
    <row r="983" ht="15.75" customHeight="1">
      <c r="G983" s="5"/>
      <c r="I983" s="6"/>
    </row>
    <row r="984" ht="15.75" customHeight="1">
      <c r="G984" s="5"/>
      <c r="I984" s="6"/>
    </row>
    <row r="985" ht="15.75" customHeight="1">
      <c r="G985" s="5"/>
      <c r="I985" s="6"/>
    </row>
    <row r="986" ht="15.75" customHeight="1">
      <c r="G986" s="5"/>
      <c r="I986" s="6"/>
    </row>
    <row r="987" ht="15.75" customHeight="1">
      <c r="G987" s="5"/>
      <c r="I987" s="6"/>
    </row>
    <row r="988" ht="15.75" customHeight="1">
      <c r="G988" s="5"/>
      <c r="I988" s="6"/>
    </row>
    <row r="989" ht="15.75" customHeight="1">
      <c r="G989" s="5"/>
      <c r="I989" s="6"/>
    </row>
    <row r="990" ht="15.75" customHeight="1">
      <c r="G990" s="5"/>
      <c r="I990" s="6"/>
    </row>
    <row r="991" ht="15.75" customHeight="1">
      <c r="G991" s="5"/>
      <c r="I991" s="6"/>
    </row>
    <row r="992" ht="15.75" customHeight="1">
      <c r="G992" s="5"/>
      <c r="I992" s="6"/>
    </row>
    <row r="993" ht="15.75" customHeight="1">
      <c r="G993" s="5"/>
      <c r="I993" s="6"/>
    </row>
    <row r="994" ht="15.75" customHeight="1">
      <c r="G994" s="5"/>
      <c r="I994" s="6"/>
    </row>
    <row r="995" ht="15.75" customHeight="1">
      <c r="G995" s="5"/>
      <c r="I995" s="6"/>
    </row>
    <row r="996" ht="15.75" customHeight="1">
      <c r="G996" s="5"/>
      <c r="I996" s="6"/>
    </row>
    <row r="997" ht="15.75" customHeight="1">
      <c r="G997" s="5"/>
      <c r="I997" s="6"/>
    </row>
    <row r="998" ht="15.75" customHeight="1">
      <c r="G998" s="5"/>
      <c r="I998" s="6"/>
    </row>
    <row r="999" ht="15.75" customHeight="1">
      <c r="G999" s="5"/>
      <c r="I999" s="6"/>
    </row>
    <row r="1000" ht="15.75" customHeight="1">
      <c r="G1000" s="5"/>
      <c r="I1000" s="6"/>
    </row>
  </sheetData>
  <autoFilter ref="$A$1:$Y$69">
    <sortState ref="A1:Y69">
      <sortCondition ref="D1:D69"/>
    </sortState>
  </autoFilter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25"/>
    <col customWidth="1" min="2" max="2" width="23.75"/>
    <col customWidth="1" min="3" max="3" width="7.63"/>
    <col customWidth="1" min="4" max="4" width="60.13"/>
    <col customWidth="1" min="5" max="5" width="30.75"/>
    <col customWidth="1" min="6" max="6" width="7.63"/>
    <col customWidth="1" min="7" max="7" width="8.0"/>
    <col customWidth="1" min="8" max="8" width="7.63"/>
    <col customWidth="1" min="9" max="9" width="10.75"/>
    <col customWidth="1" min="10" max="26" width="7.63"/>
  </cols>
  <sheetData>
    <row r="1">
      <c r="A1" s="30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30" t="s">
        <v>5</v>
      </c>
      <c r="G1" s="5" t="s">
        <v>255</v>
      </c>
      <c r="H1" s="30" t="s">
        <v>9</v>
      </c>
      <c r="I1" s="87" t="s">
        <v>10</v>
      </c>
      <c r="J1" s="30" t="s">
        <v>11</v>
      </c>
    </row>
    <row r="2">
      <c r="A2" s="30" t="s">
        <v>15</v>
      </c>
      <c r="B2" s="30" t="s">
        <v>124</v>
      </c>
      <c r="C2" s="30" t="s">
        <v>204</v>
      </c>
      <c r="D2" s="30" t="s">
        <v>125</v>
      </c>
      <c r="E2" s="30" t="s">
        <v>124</v>
      </c>
      <c r="F2" s="30" t="s">
        <v>126</v>
      </c>
      <c r="G2" s="5">
        <v>0.0</v>
      </c>
      <c r="H2" s="30">
        <v>18200.0</v>
      </c>
      <c r="I2" s="6">
        <v>0.14</v>
      </c>
      <c r="J2" s="30">
        <v>2600.0</v>
      </c>
    </row>
    <row r="3">
      <c r="A3" s="30" t="s">
        <v>15</v>
      </c>
      <c r="B3" s="30" t="s">
        <v>188</v>
      </c>
      <c r="C3" s="30" t="s">
        <v>204</v>
      </c>
      <c r="D3" s="30" t="s">
        <v>189</v>
      </c>
      <c r="E3" s="30" t="s">
        <v>190</v>
      </c>
      <c r="F3" s="30" t="s">
        <v>191</v>
      </c>
      <c r="G3" s="5">
        <v>4160.0</v>
      </c>
      <c r="H3" s="30">
        <v>4160.0</v>
      </c>
      <c r="I3" s="6">
        <v>0.59</v>
      </c>
    </row>
    <row r="4">
      <c r="A4" s="30" t="s">
        <v>15</v>
      </c>
      <c r="B4" s="30" t="s">
        <v>192</v>
      </c>
      <c r="C4" s="30" t="s">
        <v>204</v>
      </c>
      <c r="D4" s="30" t="s">
        <v>193</v>
      </c>
      <c r="E4" s="30" t="s">
        <v>193</v>
      </c>
      <c r="F4" s="30" t="s">
        <v>191</v>
      </c>
      <c r="G4" s="5">
        <v>0.0</v>
      </c>
      <c r="H4" s="30">
        <v>0.0</v>
      </c>
      <c r="I4" s="6">
        <v>0.53</v>
      </c>
    </row>
    <row r="5">
      <c r="A5" s="30" t="s">
        <v>15</v>
      </c>
      <c r="B5" s="30" t="s">
        <v>194</v>
      </c>
      <c r="C5" s="30" t="s">
        <v>204</v>
      </c>
      <c r="D5" s="30" t="s">
        <v>195</v>
      </c>
      <c r="E5" s="30" t="s">
        <v>194</v>
      </c>
      <c r="F5" s="30" t="s">
        <v>191</v>
      </c>
      <c r="G5" s="5">
        <v>13350.0</v>
      </c>
      <c r="H5" s="30">
        <v>22310.0</v>
      </c>
      <c r="I5" s="6">
        <v>0.56</v>
      </c>
    </row>
    <row r="6">
      <c r="A6" s="30" t="s">
        <v>15</v>
      </c>
      <c r="B6" s="30" t="s">
        <v>16</v>
      </c>
      <c r="C6" s="30" t="s">
        <v>204</v>
      </c>
      <c r="D6" s="30" t="s">
        <v>17</v>
      </c>
      <c r="E6" s="30" t="s">
        <v>18</v>
      </c>
      <c r="F6" s="30" t="s">
        <v>19</v>
      </c>
      <c r="G6" s="5">
        <v>23000.0</v>
      </c>
      <c r="H6" s="30">
        <v>29900.0</v>
      </c>
      <c r="I6" s="6">
        <v>0.12</v>
      </c>
      <c r="J6" s="30">
        <v>2304.0</v>
      </c>
    </row>
    <row r="7">
      <c r="A7" s="30" t="s">
        <v>15</v>
      </c>
      <c r="B7" s="30" t="s">
        <v>20</v>
      </c>
      <c r="C7" s="30" t="s">
        <v>204</v>
      </c>
      <c r="D7" s="30" t="s">
        <v>21</v>
      </c>
      <c r="E7" s="30">
        <v>4.05030023E8</v>
      </c>
      <c r="F7" s="30" t="s">
        <v>19</v>
      </c>
      <c r="G7" s="5">
        <v>0.0</v>
      </c>
      <c r="H7" s="30">
        <v>0.0</v>
      </c>
      <c r="I7" s="6">
        <v>0.19</v>
      </c>
      <c r="J7" s="30">
        <v>810.0</v>
      </c>
    </row>
    <row r="8">
      <c r="A8" s="30" t="s">
        <v>15</v>
      </c>
      <c r="B8" s="30" t="s">
        <v>127</v>
      </c>
      <c r="C8" s="30" t="s">
        <v>204</v>
      </c>
      <c r="D8" s="30" t="s">
        <v>128</v>
      </c>
      <c r="E8" s="30" t="s">
        <v>127</v>
      </c>
      <c r="F8" s="30" t="s">
        <v>126</v>
      </c>
      <c r="G8" s="5">
        <v>0.0</v>
      </c>
      <c r="H8" s="30">
        <v>0.0</v>
      </c>
      <c r="I8" s="6">
        <v>0.11</v>
      </c>
      <c r="J8" s="30">
        <v>1400.0</v>
      </c>
    </row>
    <row r="9">
      <c r="A9" s="30" t="s">
        <v>15</v>
      </c>
      <c r="B9" s="30" t="s">
        <v>129</v>
      </c>
      <c r="C9" s="30" t="s">
        <v>204</v>
      </c>
      <c r="D9" s="30" t="s">
        <v>130</v>
      </c>
      <c r="E9" s="30" t="s">
        <v>129</v>
      </c>
      <c r="F9" s="30" t="s">
        <v>126</v>
      </c>
      <c r="G9" s="5">
        <v>0.0</v>
      </c>
      <c r="H9" s="30">
        <v>0.0</v>
      </c>
      <c r="I9" s="6">
        <v>0.0</v>
      </c>
      <c r="J9" s="30">
        <v>2400.0</v>
      </c>
    </row>
    <row r="10">
      <c r="A10" s="30" t="s">
        <v>15</v>
      </c>
      <c r="B10" s="30" t="s">
        <v>131</v>
      </c>
      <c r="C10" s="30" t="s">
        <v>23</v>
      </c>
      <c r="D10" s="30" t="s">
        <v>132</v>
      </c>
      <c r="E10" s="30" t="s">
        <v>131</v>
      </c>
      <c r="F10" s="30" t="s">
        <v>126</v>
      </c>
      <c r="G10" s="5">
        <v>0.0</v>
      </c>
      <c r="H10" s="30">
        <v>0.0</v>
      </c>
      <c r="I10" s="6">
        <v>0.17</v>
      </c>
      <c r="J10" s="30">
        <v>1400.0</v>
      </c>
    </row>
    <row r="11">
      <c r="A11" s="30" t="s">
        <v>15</v>
      </c>
      <c r="B11" s="30" t="s">
        <v>133</v>
      </c>
      <c r="C11" s="30" t="s">
        <v>204</v>
      </c>
      <c r="D11" s="30" t="s">
        <v>134</v>
      </c>
      <c r="E11" s="30" t="s">
        <v>133</v>
      </c>
      <c r="F11" s="30" t="s">
        <v>126</v>
      </c>
      <c r="G11" s="5">
        <v>0.0</v>
      </c>
      <c r="H11" s="30">
        <v>700.0</v>
      </c>
      <c r="I11" s="6">
        <v>0.32</v>
      </c>
      <c r="J11" s="30">
        <v>700.0</v>
      </c>
    </row>
    <row r="12">
      <c r="A12" s="30" t="s">
        <v>15</v>
      </c>
      <c r="B12" s="30" t="s">
        <v>135</v>
      </c>
      <c r="C12" s="30" t="s">
        <v>204</v>
      </c>
      <c r="D12" s="30" t="s">
        <v>136</v>
      </c>
      <c r="E12" s="30" t="s">
        <v>135</v>
      </c>
      <c r="F12" s="30" t="s">
        <v>126</v>
      </c>
      <c r="G12" s="5">
        <v>0.0</v>
      </c>
      <c r="H12" s="30">
        <v>19200.0</v>
      </c>
      <c r="I12" s="6">
        <v>0.26</v>
      </c>
      <c r="J12" s="30">
        <v>800.0</v>
      </c>
    </row>
    <row r="13">
      <c r="A13" s="30" t="s">
        <v>15</v>
      </c>
      <c r="B13" s="30" t="s">
        <v>183</v>
      </c>
      <c r="C13" s="30" t="s">
        <v>204</v>
      </c>
      <c r="D13" s="30" t="s">
        <v>184</v>
      </c>
      <c r="F13" s="30" t="s">
        <v>185</v>
      </c>
      <c r="G13" s="5">
        <v>0.0</v>
      </c>
      <c r="H13" s="30">
        <v>7400.0</v>
      </c>
      <c r="I13" s="6">
        <v>0.25</v>
      </c>
    </row>
    <row r="14">
      <c r="A14" s="30" t="s">
        <v>15</v>
      </c>
      <c r="B14" s="30" t="s">
        <v>186</v>
      </c>
      <c r="C14" s="30" t="s">
        <v>204</v>
      </c>
      <c r="D14" s="30" t="s">
        <v>187</v>
      </c>
      <c r="F14" s="30" t="s">
        <v>185</v>
      </c>
      <c r="G14" s="5">
        <v>0.0</v>
      </c>
      <c r="H14" s="30">
        <v>0.0</v>
      </c>
      <c r="I14" s="6">
        <v>0.3</v>
      </c>
    </row>
    <row r="15">
      <c r="A15" s="30" t="s">
        <v>15</v>
      </c>
      <c r="B15" s="30" t="s">
        <v>137</v>
      </c>
      <c r="C15" s="30" t="s">
        <v>204</v>
      </c>
      <c r="D15" s="30" t="s">
        <v>138</v>
      </c>
      <c r="E15" s="30" t="s">
        <v>137</v>
      </c>
      <c r="F15" s="30" t="s">
        <v>126</v>
      </c>
      <c r="G15" s="5">
        <v>0.0</v>
      </c>
      <c r="H15" s="30">
        <v>15600.0</v>
      </c>
      <c r="I15" s="6">
        <v>0.13</v>
      </c>
      <c r="J15" s="30">
        <v>1950.0</v>
      </c>
    </row>
    <row r="16">
      <c r="A16" s="30" t="s">
        <v>15</v>
      </c>
      <c r="B16" s="30" t="s">
        <v>139</v>
      </c>
      <c r="C16" s="30" t="s">
        <v>204</v>
      </c>
      <c r="D16" s="30" t="s">
        <v>140</v>
      </c>
      <c r="E16" s="30" t="s">
        <v>139</v>
      </c>
      <c r="F16" s="30" t="s">
        <v>126</v>
      </c>
      <c r="G16" s="5">
        <v>0.0</v>
      </c>
      <c r="H16" s="30">
        <v>0.0</v>
      </c>
      <c r="I16" s="6">
        <v>0.11</v>
      </c>
      <c r="J16" s="30">
        <v>1950.0</v>
      </c>
    </row>
    <row r="17">
      <c r="A17" s="30" t="s">
        <v>15</v>
      </c>
      <c r="B17" s="30" t="s">
        <v>22</v>
      </c>
      <c r="C17" s="30" t="s">
        <v>23</v>
      </c>
      <c r="D17" s="30" t="s">
        <v>24</v>
      </c>
      <c r="E17" s="30" t="s">
        <v>25</v>
      </c>
      <c r="F17" s="30" t="s">
        <v>19</v>
      </c>
      <c r="G17" s="5">
        <v>0.0</v>
      </c>
      <c r="H17" s="30">
        <v>0.0</v>
      </c>
      <c r="I17" s="6">
        <v>0.16</v>
      </c>
      <c r="J17" s="30">
        <v>1632.0</v>
      </c>
    </row>
    <row r="18">
      <c r="A18" s="30" t="s">
        <v>15</v>
      </c>
      <c r="B18" s="30" t="s">
        <v>26</v>
      </c>
      <c r="C18" s="30" t="s">
        <v>204</v>
      </c>
      <c r="D18" s="30" t="s">
        <v>27</v>
      </c>
      <c r="E18" s="30" t="s">
        <v>28</v>
      </c>
      <c r="F18" s="30" t="s">
        <v>19</v>
      </c>
      <c r="G18" s="5">
        <v>33600.0</v>
      </c>
      <c r="H18" s="30">
        <v>33600.0</v>
      </c>
      <c r="I18" s="6">
        <v>0.13</v>
      </c>
      <c r="J18" s="30">
        <v>1680.0</v>
      </c>
    </row>
    <row r="19">
      <c r="A19" s="30" t="s">
        <v>15</v>
      </c>
      <c r="B19" s="30" t="s">
        <v>29</v>
      </c>
      <c r="C19" s="30" t="s">
        <v>23</v>
      </c>
      <c r="D19" s="30" t="s">
        <v>30</v>
      </c>
      <c r="E19" s="30" t="s">
        <v>31</v>
      </c>
      <c r="F19" s="30" t="s">
        <v>19</v>
      </c>
      <c r="G19" s="5">
        <v>0.0</v>
      </c>
      <c r="H19" s="30">
        <v>48370.0</v>
      </c>
      <c r="I19" s="6">
        <v>0.13</v>
      </c>
      <c r="J19" s="30">
        <v>1680.0</v>
      </c>
    </row>
    <row r="20">
      <c r="A20" s="30" t="s">
        <v>15</v>
      </c>
      <c r="B20" s="30" t="s">
        <v>141</v>
      </c>
      <c r="C20" s="30" t="s">
        <v>23</v>
      </c>
      <c r="D20" s="30" t="s">
        <v>30</v>
      </c>
      <c r="E20" s="30" t="s">
        <v>141</v>
      </c>
      <c r="F20" s="30" t="s">
        <v>126</v>
      </c>
      <c r="G20" s="5">
        <v>0.0</v>
      </c>
      <c r="H20" s="30">
        <v>0.0</v>
      </c>
      <c r="I20" s="6">
        <v>0.14</v>
      </c>
      <c r="J20" s="30">
        <v>1950.0</v>
      </c>
    </row>
    <row r="21" ht="15.75" customHeight="1">
      <c r="A21" s="30" t="s">
        <v>15</v>
      </c>
      <c r="B21" s="30" t="s">
        <v>142</v>
      </c>
      <c r="C21" s="30" t="s">
        <v>204</v>
      </c>
      <c r="D21" s="30" t="s">
        <v>143</v>
      </c>
      <c r="E21" s="30" t="s">
        <v>142</v>
      </c>
      <c r="F21" s="30" t="s">
        <v>126</v>
      </c>
      <c r="G21" s="5">
        <v>28300.0</v>
      </c>
      <c r="H21" s="30">
        <v>121900.0</v>
      </c>
      <c r="I21" s="6">
        <v>0.12</v>
      </c>
      <c r="J21" s="30">
        <v>2600.0</v>
      </c>
    </row>
    <row r="22" ht="15.75" customHeight="1">
      <c r="A22" s="30" t="s">
        <v>15</v>
      </c>
      <c r="B22" s="30" t="s">
        <v>144</v>
      </c>
      <c r="C22" s="30" t="s">
        <v>204</v>
      </c>
      <c r="D22" s="30" t="s">
        <v>145</v>
      </c>
      <c r="E22" s="30" t="s">
        <v>144</v>
      </c>
      <c r="F22" s="30" t="s">
        <v>126</v>
      </c>
      <c r="G22" s="5">
        <v>0.0</v>
      </c>
      <c r="H22" s="30">
        <v>17850.0</v>
      </c>
      <c r="I22" s="6">
        <v>0.14</v>
      </c>
      <c r="J22" s="30">
        <v>1275.0</v>
      </c>
    </row>
    <row r="23" ht="15.75" customHeight="1">
      <c r="A23" s="30" t="s">
        <v>15</v>
      </c>
      <c r="B23" s="30" t="s">
        <v>32</v>
      </c>
      <c r="C23" s="30" t="s">
        <v>204</v>
      </c>
      <c r="D23" s="30" t="s">
        <v>207</v>
      </c>
      <c r="E23" s="30" t="s">
        <v>34</v>
      </c>
      <c r="F23" s="30" t="s">
        <v>19</v>
      </c>
      <c r="G23" s="5">
        <v>0.0</v>
      </c>
      <c r="H23" s="30">
        <v>49724.0</v>
      </c>
      <c r="I23" s="6">
        <v>0.12</v>
      </c>
      <c r="J23" s="30">
        <v>2300.0</v>
      </c>
    </row>
    <row r="24" ht="15.75" customHeight="1">
      <c r="A24" s="30" t="s">
        <v>15</v>
      </c>
      <c r="B24" s="30" t="s">
        <v>35</v>
      </c>
      <c r="C24" s="30" t="s">
        <v>23</v>
      </c>
      <c r="D24" s="30" t="s">
        <v>36</v>
      </c>
      <c r="E24" s="30" t="s">
        <v>37</v>
      </c>
      <c r="F24" s="30" t="s">
        <v>19</v>
      </c>
      <c r="G24" s="5">
        <v>0.0</v>
      </c>
      <c r="H24" s="30">
        <v>0.0</v>
      </c>
      <c r="I24" s="6">
        <v>0.13</v>
      </c>
      <c r="J24" s="30">
        <v>950.0</v>
      </c>
    </row>
    <row r="25" ht="15.75" customHeight="1">
      <c r="A25" s="30" t="s">
        <v>15</v>
      </c>
      <c r="B25" s="30" t="s">
        <v>146</v>
      </c>
      <c r="C25" s="30" t="s">
        <v>23</v>
      </c>
      <c r="D25" s="30" t="s">
        <v>147</v>
      </c>
      <c r="E25" s="30" t="s">
        <v>146</v>
      </c>
      <c r="F25" s="30" t="s">
        <v>126</v>
      </c>
      <c r="G25" s="5">
        <v>0.0</v>
      </c>
      <c r="H25" s="30">
        <v>0.0</v>
      </c>
      <c r="I25" s="6">
        <v>0.19</v>
      </c>
      <c r="J25" s="30">
        <v>950.0</v>
      </c>
    </row>
    <row r="26" ht="15.75" customHeight="1">
      <c r="A26" s="30" t="s">
        <v>15</v>
      </c>
      <c r="B26" s="30" t="s">
        <v>38</v>
      </c>
      <c r="C26" s="30" t="s">
        <v>23</v>
      </c>
      <c r="D26" s="30" t="s">
        <v>39</v>
      </c>
      <c r="E26" s="30" t="s">
        <v>40</v>
      </c>
      <c r="F26" s="30" t="s">
        <v>19</v>
      </c>
      <c r="G26" s="5">
        <v>0.0</v>
      </c>
      <c r="H26" s="30">
        <v>18050.0</v>
      </c>
      <c r="I26" s="6">
        <v>0.2</v>
      </c>
      <c r="J26" s="30">
        <v>950.0</v>
      </c>
    </row>
    <row r="27" ht="15.75" customHeight="1">
      <c r="A27" s="30" t="s">
        <v>15</v>
      </c>
      <c r="B27" s="30" t="s">
        <v>41</v>
      </c>
      <c r="C27" s="30" t="s">
        <v>23</v>
      </c>
      <c r="D27" s="30" t="s">
        <v>42</v>
      </c>
      <c r="E27" s="30" t="s">
        <v>43</v>
      </c>
      <c r="F27" s="30" t="s">
        <v>19</v>
      </c>
      <c r="G27" s="5">
        <v>927.0</v>
      </c>
      <c r="H27" s="30">
        <v>927.0</v>
      </c>
      <c r="I27" s="6">
        <v>0.31</v>
      </c>
      <c r="J27" s="30">
        <v>927.0</v>
      </c>
    </row>
    <row r="28" ht="15.75" customHeight="1">
      <c r="A28" s="30" t="s">
        <v>15</v>
      </c>
      <c r="B28" s="30" t="s">
        <v>148</v>
      </c>
      <c r="C28" s="30" t="s">
        <v>204</v>
      </c>
      <c r="D28" s="30" t="s">
        <v>149</v>
      </c>
      <c r="E28" s="30" t="s">
        <v>148</v>
      </c>
      <c r="F28" s="30" t="s">
        <v>126</v>
      </c>
      <c r="G28" s="5">
        <v>0.0</v>
      </c>
      <c r="H28" s="30">
        <v>0.0</v>
      </c>
      <c r="I28" s="6">
        <v>0.15</v>
      </c>
      <c r="J28" s="30">
        <v>950.0</v>
      </c>
    </row>
    <row r="29" ht="15.75" customHeight="1">
      <c r="A29" s="30" t="s">
        <v>15</v>
      </c>
      <c r="B29" s="30" t="s">
        <v>44</v>
      </c>
      <c r="C29" s="30" t="s">
        <v>23</v>
      </c>
      <c r="D29" s="30" t="s">
        <v>45</v>
      </c>
      <c r="E29" s="30" t="s">
        <v>46</v>
      </c>
      <c r="F29" s="30" t="s">
        <v>19</v>
      </c>
      <c r="G29" s="5">
        <v>0.0</v>
      </c>
      <c r="H29" s="30">
        <v>0.0</v>
      </c>
      <c r="I29" s="6">
        <v>0.17</v>
      </c>
      <c r="J29" s="30">
        <v>880.0</v>
      </c>
    </row>
    <row r="30" ht="15.75" customHeight="1">
      <c r="A30" s="30" t="s">
        <v>15</v>
      </c>
      <c r="B30" s="30" t="s">
        <v>150</v>
      </c>
      <c r="C30" s="30" t="s">
        <v>23</v>
      </c>
      <c r="D30" s="30" t="s">
        <v>151</v>
      </c>
      <c r="E30" s="30" t="s">
        <v>152</v>
      </c>
      <c r="F30" s="30" t="s">
        <v>126</v>
      </c>
      <c r="G30" s="5">
        <v>5600.0</v>
      </c>
      <c r="H30" s="30">
        <v>16800.0</v>
      </c>
      <c r="I30" s="6">
        <v>0.35</v>
      </c>
      <c r="J30" s="30">
        <v>700.0</v>
      </c>
    </row>
    <row r="31" ht="15.75" customHeight="1">
      <c r="A31" s="30" t="s">
        <v>15</v>
      </c>
      <c r="B31" s="30" t="s">
        <v>153</v>
      </c>
      <c r="C31" s="30" t="s">
        <v>23</v>
      </c>
      <c r="D31" s="30" t="s">
        <v>154</v>
      </c>
      <c r="E31" s="30" t="s">
        <v>153</v>
      </c>
      <c r="F31" s="30" t="s">
        <v>126</v>
      </c>
      <c r="G31" s="5">
        <v>0.0</v>
      </c>
      <c r="H31" s="30">
        <v>0.0</v>
      </c>
      <c r="I31" s="6">
        <v>0.2</v>
      </c>
      <c r="J31" s="30">
        <v>950.0</v>
      </c>
    </row>
    <row r="32" ht="15.75" customHeight="1">
      <c r="A32" s="30" t="s">
        <v>15</v>
      </c>
      <c r="B32" s="30" t="s">
        <v>47</v>
      </c>
      <c r="C32" s="30" t="s">
        <v>204</v>
      </c>
      <c r="D32" s="30" t="s">
        <v>48</v>
      </c>
      <c r="E32" s="30" t="s">
        <v>49</v>
      </c>
      <c r="F32" s="30" t="s">
        <v>19</v>
      </c>
      <c r="G32" s="5">
        <v>0.0</v>
      </c>
      <c r="H32" s="30">
        <v>31240.0</v>
      </c>
      <c r="I32" s="6">
        <v>0.21</v>
      </c>
      <c r="J32" s="30">
        <v>1562.0</v>
      </c>
    </row>
    <row r="33" ht="15.75" customHeight="1">
      <c r="A33" s="30" t="s">
        <v>15</v>
      </c>
      <c r="B33" s="30" t="s">
        <v>50</v>
      </c>
      <c r="C33" s="30" t="s">
        <v>23</v>
      </c>
      <c r="D33" s="30" t="s">
        <v>51</v>
      </c>
      <c r="E33" s="30" t="s">
        <v>52</v>
      </c>
      <c r="F33" s="30" t="s">
        <v>19</v>
      </c>
      <c r="G33" s="5">
        <v>0.0</v>
      </c>
      <c r="H33" s="30">
        <v>0.0</v>
      </c>
      <c r="I33" s="6">
        <v>0.21</v>
      </c>
      <c r="J33" s="30">
        <v>880.0</v>
      </c>
    </row>
    <row r="34" ht="15.75" customHeight="1">
      <c r="A34" s="30" t="s">
        <v>15</v>
      </c>
      <c r="B34" s="30" t="s">
        <v>53</v>
      </c>
      <c r="C34" s="30" t="s">
        <v>204</v>
      </c>
      <c r="D34" s="30" t="s">
        <v>54</v>
      </c>
      <c r="E34" s="30" t="s">
        <v>55</v>
      </c>
      <c r="F34" s="30" t="s">
        <v>19</v>
      </c>
      <c r="G34" s="5">
        <v>0.0</v>
      </c>
      <c r="H34" s="30">
        <v>4000.0</v>
      </c>
      <c r="I34" s="6">
        <v>0.11</v>
      </c>
      <c r="J34" s="30">
        <v>2000.0</v>
      </c>
    </row>
    <row r="35" ht="15.75" customHeight="1">
      <c r="A35" s="30" t="s">
        <v>15</v>
      </c>
      <c r="B35" s="30" t="s">
        <v>56</v>
      </c>
      <c r="C35" s="30" t="s">
        <v>204</v>
      </c>
      <c r="D35" s="30" t="s">
        <v>57</v>
      </c>
      <c r="E35" s="30" t="s">
        <v>58</v>
      </c>
      <c r="F35" s="30" t="s">
        <v>19</v>
      </c>
      <c r="G35" s="5">
        <v>0.0</v>
      </c>
      <c r="H35" s="30">
        <v>0.0</v>
      </c>
      <c r="I35" s="6">
        <v>0.17</v>
      </c>
      <c r="J35" s="30">
        <v>1562.0</v>
      </c>
    </row>
    <row r="36" ht="15.75" customHeight="1">
      <c r="A36" s="30" t="s">
        <v>15</v>
      </c>
      <c r="B36" s="30" t="s">
        <v>60</v>
      </c>
      <c r="C36" s="30" t="s">
        <v>204</v>
      </c>
      <c r="D36" s="30" t="s">
        <v>61</v>
      </c>
      <c r="E36" s="30" t="s">
        <v>62</v>
      </c>
      <c r="F36" s="30" t="s">
        <v>19</v>
      </c>
      <c r="G36" s="5">
        <v>0.0</v>
      </c>
      <c r="H36" s="30">
        <v>0.0</v>
      </c>
      <c r="I36" s="6">
        <v>0.17</v>
      </c>
      <c r="J36" s="30">
        <v>1545.0</v>
      </c>
    </row>
    <row r="37" ht="15.75" customHeight="1">
      <c r="A37" s="30" t="s">
        <v>15</v>
      </c>
      <c r="B37" s="30" t="s">
        <v>155</v>
      </c>
      <c r="C37" s="30" t="s">
        <v>204</v>
      </c>
      <c r="D37" s="30" t="s">
        <v>156</v>
      </c>
      <c r="E37" s="30" t="s">
        <v>155</v>
      </c>
      <c r="F37" s="30" t="s">
        <v>126</v>
      </c>
      <c r="G37" s="5">
        <v>0.0</v>
      </c>
      <c r="H37" s="30">
        <v>0.0</v>
      </c>
      <c r="I37" s="6">
        <v>0.27</v>
      </c>
      <c r="J37" s="30">
        <v>950.0</v>
      </c>
    </row>
    <row r="38" ht="15.75" customHeight="1">
      <c r="A38" s="30" t="s">
        <v>15</v>
      </c>
      <c r="B38" s="30" t="s">
        <v>64</v>
      </c>
      <c r="C38" s="30" t="s">
        <v>23</v>
      </c>
      <c r="D38" s="30" t="s">
        <v>65</v>
      </c>
      <c r="E38" s="30" t="s">
        <v>66</v>
      </c>
      <c r="F38" s="30" t="s">
        <v>19</v>
      </c>
      <c r="G38" s="5">
        <v>0.0</v>
      </c>
      <c r="H38" s="30">
        <v>0.0</v>
      </c>
      <c r="I38" s="6">
        <v>0.39</v>
      </c>
      <c r="J38" s="30">
        <v>780.0</v>
      </c>
    </row>
    <row r="39" ht="15.75" customHeight="1">
      <c r="A39" s="30" t="s">
        <v>15</v>
      </c>
      <c r="B39" s="30" t="s">
        <v>67</v>
      </c>
      <c r="C39" s="30" t="s">
        <v>204</v>
      </c>
      <c r="D39" s="30" t="s">
        <v>68</v>
      </c>
      <c r="E39" s="30" t="s">
        <v>69</v>
      </c>
      <c r="F39" s="30" t="s">
        <v>19</v>
      </c>
      <c r="G39" s="5">
        <v>0.0</v>
      </c>
      <c r="H39" s="30">
        <v>0.0</v>
      </c>
      <c r="I39" s="6">
        <v>0.0</v>
      </c>
      <c r="J39" s="30">
        <v>850.0</v>
      </c>
    </row>
    <row r="40" ht="15.75" customHeight="1">
      <c r="A40" s="30" t="s">
        <v>15</v>
      </c>
      <c r="B40" s="30" t="s">
        <v>157</v>
      </c>
      <c r="C40" s="30" t="s">
        <v>204</v>
      </c>
      <c r="D40" s="30" t="s">
        <v>158</v>
      </c>
      <c r="E40" s="30" t="s">
        <v>157</v>
      </c>
      <c r="F40" s="30" t="s">
        <v>126</v>
      </c>
      <c r="G40" s="5">
        <v>0.0</v>
      </c>
      <c r="H40" s="30">
        <v>0.0</v>
      </c>
      <c r="I40" s="6">
        <v>0.14</v>
      </c>
      <c r="J40" s="30">
        <v>1400.0</v>
      </c>
    </row>
    <row r="41" ht="15.75" customHeight="1">
      <c r="A41" s="30" t="s">
        <v>15</v>
      </c>
      <c r="B41" s="30" t="s">
        <v>70</v>
      </c>
      <c r="C41" s="30" t="s">
        <v>204</v>
      </c>
      <c r="D41" s="30" t="s">
        <v>71</v>
      </c>
      <c r="E41" s="30">
        <v>4.05090006E8</v>
      </c>
      <c r="F41" s="30" t="s">
        <v>19</v>
      </c>
      <c r="G41" s="5">
        <v>0.0</v>
      </c>
      <c r="H41" s="30">
        <v>0.0</v>
      </c>
      <c r="I41" s="6">
        <v>0.12</v>
      </c>
      <c r="J41" s="30">
        <v>2240.0</v>
      </c>
    </row>
    <row r="42" ht="15.75" customHeight="1">
      <c r="A42" s="30" t="s">
        <v>15</v>
      </c>
      <c r="B42" s="30" t="s">
        <v>159</v>
      </c>
      <c r="C42" s="30" t="s">
        <v>23</v>
      </c>
      <c r="D42" s="30" t="s">
        <v>160</v>
      </c>
      <c r="E42" s="30" t="s">
        <v>159</v>
      </c>
      <c r="F42" s="30" t="s">
        <v>126</v>
      </c>
      <c r="G42" s="5">
        <v>0.0</v>
      </c>
      <c r="H42" s="30">
        <v>0.0</v>
      </c>
      <c r="I42" s="6">
        <v>0.0</v>
      </c>
      <c r="J42" s="30">
        <v>1400.0</v>
      </c>
    </row>
    <row r="43" ht="15.75" customHeight="1">
      <c r="A43" s="30" t="s">
        <v>15</v>
      </c>
      <c r="B43" s="30" t="s">
        <v>72</v>
      </c>
      <c r="C43" s="30" t="s">
        <v>23</v>
      </c>
      <c r="D43" s="30" t="s">
        <v>73</v>
      </c>
      <c r="E43" s="30" t="s">
        <v>74</v>
      </c>
      <c r="F43" s="30" t="s">
        <v>19</v>
      </c>
      <c r="G43" s="5">
        <v>0.0</v>
      </c>
      <c r="H43" s="30">
        <v>10626.0</v>
      </c>
      <c r="I43" s="6">
        <v>0.2</v>
      </c>
      <c r="J43" s="30">
        <v>1518.0</v>
      </c>
    </row>
    <row r="44" ht="15.75" customHeight="1">
      <c r="A44" s="30" t="s">
        <v>15</v>
      </c>
      <c r="B44" s="30" t="s">
        <v>161</v>
      </c>
      <c r="C44" s="30" t="s">
        <v>23</v>
      </c>
      <c r="D44" s="30" t="s">
        <v>162</v>
      </c>
      <c r="E44" s="30" t="s">
        <v>161</v>
      </c>
      <c r="F44" s="30" t="s">
        <v>126</v>
      </c>
      <c r="G44" s="5">
        <v>0.0</v>
      </c>
      <c r="H44" s="30">
        <v>0.0</v>
      </c>
      <c r="I44" s="6">
        <v>0.17</v>
      </c>
      <c r="J44" s="30">
        <v>1400.0</v>
      </c>
    </row>
    <row r="45" ht="15.75" customHeight="1">
      <c r="A45" s="30" t="s">
        <v>15</v>
      </c>
      <c r="B45" s="30" t="s">
        <v>75</v>
      </c>
      <c r="C45" s="30" t="s">
        <v>23</v>
      </c>
      <c r="D45" s="30" t="s">
        <v>76</v>
      </c>
      <c r="E45" s="30" t="s">
        <v>77</v>
      </c>
      <c r="F45" s="30" t="s">
        <v>19</v>
      </c>
      <c r="G45" s="5">
        <v>0.0</v>
      </c>
      <c r="H45" s="30">
        <v>0.0</v>
      </c>
      <c r="I45" s="6">
        <v>0.18</v>
      </c>
      <c r="J45" s="30">
        <v>1302.0</v>
      </c>
    </row>
    <row r="46" ht="15.75" customHeight="1">
      <c r="A46" s="30" t="s">
        <v>15</v>
      </c>
      <c r="B46" s="30" t="s">
        <v>78</v>
      </c>
      <c r="C46" s="30" t="s">
        <v>204</v>
      </c>
      <c r="D46" s="30" t="s">
        <v>79</v>
      </c>
      <c r="E46" s="30" t="s">
        <v>80</v>
      </c>
      <c r="F46" s="30" t="s">
        <v>19</v>
      </c>
      <c r="G46" s="5">
        <v>0.0</v>
      </c>
      <c r="H46" s="30">
        <v>0.0</v>
      </c>
      <c r="I46" s="6">
        <v>0.35</v>
      </c>
      <c r="J46" s="30">
        <v>720.0</v>
      </c>
    </row>
    <row r="47" ht="15.75" customHeight="1">
      <c r="A47" s="30" t="s">
        <v>15</v>
      </c>
      <c r="B47" s="30" t="s">
        <v>81</v>
      </c>
      <c r="C47" s="30" t="s">
        <v>204</v>
      </c>
      <c r="D47" s="30" t="s">
        <v>211</v>
      </c>
      <c r="E47" s="30" t="s">
        <v>83</v>
      </c>
      <c r="F47" s="30" t="s">
        <v>19</v>
      </c>
      <c r="G47" s="5">
        <v>0.0</v>
      </c>
      <c r="H47" s="30">
        <v>0.0</v>
      </c>
      <c r="I47" s="6">
        <v>0.15</v>
      </c>
      <c r="J47" s="30">
        <v>952.0</v>
      </c>
    </row>
    <row r="48" ht="15.75" customHeight="1">
      <c r="A48" s="30" t="s">
        <v>15</v>
      </c>
      <c r="B48" s="30" t="s">
        <v>84</v>
      </c>
      <c r="C48" s="30" t="s">
        <v>23</v>
      </c>
      <c r="D48" s="30" t="s">
        <v>85</v>
      </c>
      <c r="E48" s="30" t="s">
        <v>86</v>
      </c>
      <c r="F48" s="30" t="s">
        <v>19</v>
      </c>
      <c r="G48" s="5">
        <v>10584.0</v>
      </c>
      <c r="H48" s="30">
        <v>20584.0</v>
      </c>
      <c r="I48" s="6">
        <v>0.1</v>
      </c>
      <c r="J48" s="30">
        <v>1155.0</v>
      </c>
    </row>
    <row r="49" ht="15.75" customHeight="1">
      <c r="A49" s="30" t="s">
        <v>15</v>
      </c>
      <c r="B49" s="30" t="s">
        <v>163</v>
      </c>
      <c r="C49" s="30" t="s">
        <v>23</v>
      </c>
      <c r="D49" s="30" t="s">
        <v>164</v>
      </c>
      <c r="E49" s="30" t="s">
        <v>163</v>
      </c>
      <c r="F49" s="30" t="s">
        <v>126</v>
      </c>
      <c r="G49" s="5">
        <v>0.0</v>
      </c>
      <c r="H49" s="30">
        <v>0.0</v>
      </c>
      <c r="I49" s="6">
        <v>0.15</v>
      </c>
      <c r="J49" s="30">
        <v>750.0</v>
      </c>
    </row>
    <row r="50" ht="15.75" customHeight="1">
      <c r="A50" s="30" t="s">
        <v>15</v>
      </c>
      <c r="B50" s="30" t="s">
        <v>165</v>
      </c>
      <c r="C50" s="30" t="s">
        <v>204</v>
      </c>
      <c r="D50" s="30" t="s">
        <v>166</v>
      </c>
      <c r="E50" s="30" t="s">
        <v>165</v>
      </c>
      <c r="F50" s="30" t="s">
        <v>126</v>
      </c>
      <c r="G50" s="5">
        <v>0.0</v>
      </c>
      <c r="H50" s="30">
        <v>0.0</v>
      </c>
      <c r="I50" s="6">
        <v>0.0</v>
      </c>
      <c r="J50" s="30">
        <v>1300.0</v>
      </c>
    </row>
    <row r="51" ht="15.75" customHeight="1">
      <c r="A51" s="30" t="s">
        <v>15</v>
      </c>
      <c r="B51" s="30" t="s">
        <v>87</v>
      </c>
      <c r="C51" s="30" t="s">
        <v>204</v>
      </c>
      <c r="D51" s="30" t="s">
        <v>88</v>
      </c>
      <c r="E51" s="30" t="s">
        <v>89</v>
      </c>
      <c r="F51" s="30" t="s">
        <v>19</v>
      </c>
      <c r="G51" s="5">
        <v>46200.0</v>
      </c>
      <c r="H51" s="30">
        <v>52274.0</v>
      </c>
      <c r="I51" s="6">
        <v>0.09</v>
      </c>
      <c r="J51" s="30">
        <v>1155.0</v>
      </c>
    </row>
    <row r="52" ht="15.75" customHeight="1">
      <c r="A52" s="30" t="s">
        <v>15</v>
      </c>
      <c r="B52" s="30" t="s">
        <v>91</v>
      </c>
      <c r="C52" s="30" t="s">
        <v>204</v>
      </c>
      <c r="D52" s="30" t="s">
        <v>92</v>
      </c>
      <c r="F52" s="30" t="s">
        <v>19</v>
      </c>
      <c r="G52" s="5">
        <v>0.0</v>
      </c>
      <c r="H52" s="30">
        <v>0.0</v>
      </c>
      <c r="I52" s="6">
        <v>0.11</v>
      </c>
    </row>
    <row r="53" ht="15.75" customHeight="1">
      <c r="A53" s="30" t="s">
        <v>15</v>
      </c>
      <c r="B53" s="30" t="s">
        <v>94</v>
      </c>
      <c r="C53" s="30" t="s">
        <v>204</v>
      </c>
      <c r="D53" s="30" t="s">
        <v>95</v>
      </c>
      <c r="E53" s="30" t="s">
        <v>96</v>
      </c>
      <c r="F53" s="30" t="s">
        <v>19</v>
      </c>
      <c r="G53" s="5">
        <v>0.0</v>
      </c>
      <c r="H53" s="30">
        <v>0.0</v>
      </c>
      <c r="I53" s="6">
        <v>0.2</v>
      </c>
      <c r="J53" s="30">
        <v>990.0</v>
      </c>
    </row>
    <row r="54" ht="15.75" customHeight="1">
      <c r="A54" s="30" t="s">
        <v>15</v>
      </c>
      <c r="B54" s="30" t="s">
        <v>167</v>
      </c>
      <c r="C54" s="30" t="s">
        <v>204</v>
      </c>
      <c r="D54" s="30" t="s">
        <v>168</v>
      </c>
      <c r="E54" s="30" t="s">
        <v>167</v>
      </c>
      <c r="F54" s="30" t="s">
        <v>126</v>
      </c>
      <c r="G54" s="5">
        <v>39000.0</v>
      </c>
      <c r="H54" s="30">
        <v>39000.0</v>
      </c>
      <c r="I54" s="6">
        <v>0.15</v>
      </c>
      <c r="J54" s="30">
        <v>750.0</v>
      </c>
    </row>
    <row r="55" ht="15.75" customHeight="1">
      <c r="A55" s="30" t="s">
        <v>15</v>
      </c>
      <c r="B55" s="30" t="s">
        <v>169</v>
      </c>
      <c r="C55" s="30" t="s">
        <v>204</v>
      </c>
      <c r="D55" s="30" t="s">
        <v>170</v>
      </c>
      <c r="E55" s="30" t="s">
        <v>169</v>
      </c>
      <c r="F55" s="30" t="s">
        <v>126</v>
      </c>
      <c r="G55" s="5">
        <v>0.0</v>
      </c>
      <c r="H55" s="30">
        <v>0.0</v>
      </c>
      <c r="I55" s="6">
        <v>0.17</v>
      </c>
      <c r="J55" s="30">
        <v>750.0</v>
      </c>
    </row>
    <row r="56" ht="15.75" customHeight="1">
      <c r="A56" s="30" t="s">
        <v>15</v>
      </c>
      <c r="B56" s="30" t="s">
        <v>98</v>
      </c>
      <c r="C56" s="30" t="s">
        <v>204</v>
      </c>
      <c r="D56" s="30" t="s">
        <v>99</v>
      </c>
      <c r="E56" s="30" t="s">
        <v>100</v>
      </c>
      <c r="F56" s="30" t="s">
        <v>19</v>
      </c>
      <c r="G56" s="5">
        <v>0.0</v>
      </c>
      <c r="H56" s="30">
        <v>0.0</v>
      </c>
      <c r="I56" s="6">
        <v>0.16</v>
      </c>
      <c r="J56" s="30">
        <v>938.0</v>
      </c>
    </row>
    <row r="57" ht="15.75" customHeight="1">
      <c r="A57" s="30" t="s">
        <v>15</v>
      </c>
      <c r="B57" s="30" t="s">
        <v>101</v>
      </c>
      <c r="C57" s="30" t="s">
        <v>204</v>
      </c>
      <c r="D57" s="30" t="s">
        <v>102</v>
      </c>
      <c r="E57" s="30" t="s">
        <v>103</v>
      </c>
      <c r="F57" s="30" t="s">
        <v>19</v>
      </c>
      <c r="G57" s="5">
        <v>0.0</v>
      </c>
      <c r="H57" s="30">
        <v>0.0</v>
      </c>
      <c r="I57" s="6">
        <v>0.16</v>
      </c>
      <c r="J57" s="30">
        <v>924.0</v>
      </c>
    </row>
    <row r="58" ht="15.75" customHeight="1">
      <c r="A58" s="30" t="s">
        <v>15</v>
      </c>
      <c r="B58" s="30" t="s">
        <v>104</v>
      </c>
      <c r="C58" s="30" t="s">
        <v>204</v>
      </c>
      <c r="D58" s="30" t="s">
        <v>105</v>
      </c>
      <c r="E58" s="30" t="s">
        <v>106</v>
      </c>
      <c r="F58" s="30" t="s">
        <v>19</v>
      </c>
      <c r="G58" s="5">
        <v>0.0</v>
      </c>
      <c r="H58" s="30">
        <v>0.0</v>
      </c>
      <c r="I58" s="6">
        <v>0.14</v>
      </c>
      <c r="J58" s="30">
        <v>1176.0</v>
      </c>
    </row>
    <row r="59" ht="15.75" customHeight="1">
      <c r="A59" s="30" t="s">
        <v>15</v>
      </c>
      <c r="B59" s="30" t="s">
        <v>107</v>
      </c>
      <c r="C59" s="30" t="s">
        <v>204</v>
      </c>
      <c r="D59" s="30" t="s">
        <v>108</v>
      </c>
      <c r="E59" s="30" t="s">
        <v>109</v>
      </c>
      <c r="F59" s="30" t="s">
        <v>19</v>
      </c>
      <c r="G59" s="5">
        <v>0.0</v>
      </c>
      <c r="H59" s="30">
        <v>153768.0</v>
      </c>
      <c r="I59" s="6">
        <v>0.11</v>
      </c>
      <c r="J59" s="30">
        <v>1176.0</v>
      </c>
    </row>
    <row r="60" ht="15.75" customHeight="1">
      <c r="A60" s="30" t="s">
        <v>15</v>
      </c>
      <c r="B60" s="30" t="s">
        <v>110</v>
      </c>
      <c r="C60" s="30" t="s">
        <v>204</v>
      </c>
      <c r="D60" s="30" t="s">
        <v>111</v>
      </c>
      <c r="E60" s="30" t="s">
        <v>112</v>
      </c>
      <c r="F60" s="30" t="s">
        <v>19</v>
      </c>
      <c r="G60" s="5">
        <v>1134.0</v>
      </c>
      <c r="H60" s="30">
        <v>1134.0</v>
      </c>
      <c r="I60" s="6">
        <v>0.33</v>
      </c>
      <c r="J60" s="30">
        <v>567.0</v>
      </c>
    </row>
    <row r="61" ht="15.75" customHeight="1">
      <c r="A61" s="30" t="s">
        <v>15</v>
      </c>
      <c r="B61" s="30" t="s">
        <v>171</v>
      </c>
      <c r="C61" s="30" t="s">
        <v>204</v>
      </c>
      <c r="D61" s="30" t="s">
        <v>172</v>
      </c>
      <c r="E61" s="30" t="s">
        <v>173</v>
      </c>
      <c r="F61" s="30" t="s">
        <v>126</v>
      </c>
      <c r="G61" s="5">
        <v>0.0</v>
      </c>
      <c r="H61" s="30">
        <v>4705.0</v>
      </c>
      <c r="I61" s="6">
        <v>0.12</v>
      </c>
      <c r="J61" s="30">
        <v>770.0</v>
      </c>
    </row>
    <row r="62" ht="15.75" customHeight="1">
      <c r="A62" s="30" t="s">
        <v>15</v>
      </c>
      <c r="B62" s="30" t="s">
        <v>174</v>
      </c>
      <c r="C62" s="30" t="s">
        <v>204</v>
      </c>
      <c r="D62" s="30" t="s">
        <v>175</v>
      </c>
      <c r="E62" s="30" t="s">
        <v>215</v>
      </c>
      <c r="F62" s="30" t="s">
        <v>126</v>
      </c>
      <c r="G62" s="5">
        <v>6000.0</v>
      </c>
      <c r="H62" s="30">
        <v>20000.0</v>
      </c>
      <c r="I62" s="6">
        <v>0.31</v>
      </c>
      <c r="J62" s="30">
        <v>500.0</v>
      </c>
    </row>
    <row r="63" ht="15.75" customHeight="1">
      <c r="A63" s="30" t="s">
        <v>15</v>
      </c>
      <c r="B63" s="30" t="s">
        <v>113</v>
      </c>
      <c r="C63" s="30" t="s">
        <v>204</v>
      </c>
      <c r="D63" s="30" t="s">
        <v>114</v>
      </c>
      <c r="E63" s="30" t="s">
        <v>115</v>
      </c>
      <c r="F63" s="30" t="s">
        <v>19</v>
      </c>
      <c r="G63" s="5">
        <v>0.0</v>
      </c>
      <c r="H63" s="30">
        <v>0.0</v>
      </c>
      <c r="I63" s="6">
        <v>0.26</v>
      </c>
      <c r="J63" s="30">
        <v>765.0</v>
      </c>
    </row>
    <row r="64" ht="15.75" customHeight="1">
      <c r="A64" s="30" t="s">
        <v>15</v>
      </c>
      <c r="B64" s="30" t="s">
        <v>116</v>
      </c>
      <c r="C64" s="30" t="s">
        <v>204</v>
      </c>
      <c r="D64" s="30" t="s">
        <v>117</v>
      </c>
      <c r="E64" s="30" t="s">
        <v>118</v>
      </c>
      <c r="F64" s="30" t="s">
        <v>19</v>
      </c>
      <c r="G64" s="5">
        <v>0.0</v>
      </c>
      <c r="H64" s="30">
        <v>3465.0</v>
      </c>
      <c r="I64" s="6">
        <v>0.0</v>
      </c>
      <c r="J64" s="30">
        <v>1155.0</v>
      </c>
    </row>
    <row r="65" ht="15.75" customHeight="1">
      <c r="A65" s="30" t="s">
        <v>15</v>
      </c>
      <c r="B65" s="30" t="s">
        <v>177</v>
      </c>
      <c r="C65" s="30" t="s">
        <v>204</v>
      </c>
      <c r="D65" s="30" t="s">
        <v>178</v>
      </c>
      <c r="E65" s="30" t="s">
        <v>177</v>
      </c>
      <c r="F65" s="30" t="s">
        <v>126</v>
      </c>
      <c r="G65" s="5">
        <v>58500.0</v>
      </c>
      <c r="H65" s="30">
        <v>137800.0</v>
      </c>
      <c r="I65" s="6">
        <v>0.1</v>
      </c>
      <c r="J65" s="30">
        <v>1300.0</v>
      </c>
    </row>
    <row r="66" ht="15.75" customHeight="1">
      <c r="A66" s="30" t="s">
        <v>15</v>
      </c>
      <c r="B66" s="30" t="s">
        <v>119</v>
      </c>
      <c r="C66" s="30" t="s">
        <v>23</v>
      </c>
      <c r="D66" s="30" t="s">
        <v>120</v>
      </c>
      <c r="E66" s="30">
        <v>4.10060005E8</v>
      </c>
      <c r="F66" s="30" t="s">
        <v>19</v>
      </c>
      <c r="G66" s="5">
        <v>0.0</v>
      </c>
      <c r="H66" s="30">
        <v>0.0</v>
      </c>
      <c r="I66" s="6">
        <v>0.21</v>
      </c>
      <c r="J66" s="30">
        <v>868.0</v>
      </c>
    </row>
    <row r="67" ht="15.75" customHeight="1">
      <c r="A67" s="30" t="s">
        <v>15</v>
      </c>
      <c r="B67" s="30" t="s">
        <v>179</v>
      </c>
      <c r="C67" s="30" t="s">
        <v>204</v>
      </c>
      <c r="D67" s="30" t="s">
        <v>180</v>
      </c>
      <c r="E67" s="30" t="s">
        <v>179</v>
      </c>
      <c r="F67" s="30" t="s">
        <v>126</v>
      </c>
      <c r="G67" s="5">
        <v>0.0</v>
      </c>
      <c r="H67" s="30">
        <v>0.0</v>
      </c>
      <c r="I67" s="6">
        <v>0.16</v>
      </c>
      <c r="J67" s="30">
        <v>800.0</v>
      </c>
    </row>
    <row r="68" ht="15.75" customHeight="1">
      <c r="A68" s="30" t="s">
        <v>15</v>
      </c>
      <c r="B68" s="30" t="s">
        <v>121</v>
      </c>
      <c r="C68" s="30" t="s">
        <v>204</v>
      </c>
      <c r="D68" s="30" t="s">
        <v>122</v>
      </c>
      <c r="E68" s="30" t="s">
        <v>123</v>
      </c>
      <c r="F68" s="30" t="s">
        <v>19</v>
      </c>
      <c r="G68" s="5">
        <v>0.0</v>
      </c>
      <c r="H68" s="30">
        <v>10650.0</v>
      </c>
      <c r="I68" s="6">
        <v>0.18</v>
      </c>
      <c r="J68" s="30">
        <v>660.0</v>
      </c>
    </row>
    <row r="69" ht="15.75" customHeight="1">
      <c r="A69" s="30" t="s">
        <v>15</v>
      </c>
      <c r="B69" s="30" t="s">
        <v>181</v>
      </c>
      <c r="C69" s="30" t="s">
        <v>204</v>
      </c>
      <c r="D69" s="30" t="s">
        <v>182</v>
      </c>
      <c r="E69" s="30" t="s">
        <v>181</v>
      </c>
      <c r="F69" s="30" t="s">
        <v>126</v>
      </c>
      <c r="G69" s="5">
        <v>0.0</v>
      </c>
      <c r="H69" s="30">
        <v>0.0</v>
      </c>
      <c r="I69" s="6">
        <v>0.14</v>
      </c>
      <c r="J69" s="30">
        <v>1300.0</v>
      </c>
    </row>
    <row r="70" ht="15.75" customHeight="1">
      <c r="G70" s="5"/>
      <c r="I70" s="6"/>
    </row>
    <row r="71" ht="15.75" customHeight="1">
      <c r="G71" s="5"/>
      <c r="I71" s="6"/>
    </row>
    <row r="72" ht="15.75" customHeight="1">
      <c r="G72" s="5"/>
      <c r="I72" s="6"/>
    </row>
    <row r="73" ht="15.75" customHeight="1">
      <c r="G73" s="5"/>
      <c r="I73" s="6"/>
    </row>
    <row r="74" ht="15.75" customHeight="1">
      <c r="G74" s="5"/>
      <c r="I74" s="6"/>
    </row>
    <row r="75" ht="15.75" customHeight="1">
      <c r="G75" s="5"/>
      <c r="I75" s="6"/>
    </row>
    <row r="76" ht="15.75" customHeight="1">
      <c r="G76" s="5"/>
      <c r="I76" s="6"/>
    </row>
    <row r="77" ht="15.75" customHeight="1">
      <c r="G77" s="5"/>
      <c r="I77" s="6"/>
    </row>
    <row r="78" ht="15.75" customHeight="1">
      <c r="G78" s="5"/>
      <c r="I78" s="6"/>
    </row>
    <row r="79" ht="15.75" customHeight="1">
      <c r="G79" s="5"/>
      <c r="I79" s="6"/>
    </row>
    <row r="80" ht="15.75" customHeight="1">
      <c r="G80" s="5"/>
      <c r="I80" s="6"/>
    </row>
    <row r="81" ht="15.75" customHeight="1">
      <c r="G81" s="5"/>
      <c r="I81" s="6"/>
    </row>
    <row r="82" ht="15.75" customHeight="1">
      <c r="G82" s="5"/>
      <c r="I82" s="6"/>
    </row>
    <row r="83" ht="15.75" customHeight="1">
      <c r="G83" s="5"/>
      <c r="I83" s="6"/>
    </row>
    <row r="84" ht="15.75" customHeight="1">
      <c r="G84" s="5"/>
      <c r="I84" s="6"/>
    </row>
    <row r="85" ht="15.75" customHeight="1">
      <c r="G85" s="5"/>
      <c r="I85" s="6"/>
    </row>
    <row r="86" ht="15.75" customHeight="1">
      <c r="G86" s="5"/>
      <c r="I86" s="6"/>
    </row>
    <row r="87" ht="15.75" customHeight="1">
      <c r="G87" s="5"/>
      <c r="I87" s="6"/>
    </row>
    <row r="88" ht="15.75" customHeight="1">
      <c r="G88" s="5"/>
      <c r="I88" s="6"/>
    </row>
    <row r="89" ht="15.75" customHeight="1">
      <c r="G89" s="5"/>
      <c r="I89" s="6"/>
    </row>
    <row r="90" ht="15.75" customHeight="1">
      <c r="G90" s="5"/>
      <c r="I90" s="6"/>
    </row>
    <row r="91" ht="15.75" customHeight="1">
      <c r="G91" s="5"/>
      <c r="I91" s="6"/>
    </row>
    <row r="92" ht="15.75" customHeight="1">
      <c r="G92" s="5"/>
      <c r="I92" s="6"/>
    </row>
    <row r="93" ht="15.75" customHeight="1">
      <c r="G93" s="5"/>
      <c r="I93" s="6"/>
    </row>
    <row r="94" ht="15.75" customHeight="1">
      <c r="G94" s="5"/>
      <c r="I94" s="6"/>
    </row>
    <row r="95" ht="15.75" customHeight="1">
      <c r="G95" s="5"/>
      <c r="I95" s="6"/>
    </row>
    <row r="96" ht="15.75" customHeight="1">
      <c r="G96" s="5"/>
      <c r="I96" s="6"/>
    </row>
    <row r="97" ht="15.75" customHeight="1">
      <c r="G97" s="5"/>
      <c r="I97" s="6"/>
    </row>
    <row r="98" ht="15.75" customHeight="1">
      <c r="G98" s="5"/>
      <c r="I98" s="6"/>
    </row>
    <row r="99" ht="15.75" customHeight="1">
      <c r="G99" s="5"/>
      <c r="I99" s="6"/>
    </row>
    <row r="100" ht="15.75" customHeight="1">
      <c r="G100" s="5"/>
      <c r="I100" s="6"/>
    </row>
    <row r="101" ht="15.75" customHeight="1">
      <c r="G101" s="5"/>
      <c r="I101" s="6"/>
    </row>
    <row r="102" ht="15.75" customHeight="1">
      <c r="G102" s="5"/>
      <c r="I102" s="6"/>
    </row>
    <row r="103" ht="15.75" customHeight="1">
      <c r="G103" s="5"/>
      <c r="I103" s="6"/>
    </row>
    <row r="104" ht="15.75" customHeight="1">
      <c r="G104" s="5"/>
      <c r="I104" s="6"/>
    </row>
    <row r="105" ht="15.75" customHeight="1">
      <c r="G105" s="5"/>
      <c r="I105" s="6"/>
    </row>
    <row r="106" ht="15.75" customHeight="1">
      <c r="G106" s="5"/>
      <c r="I106" s="6"/>
    </row>
    <row r="107" ht="15.75" customHeight="1">
      <c r="G107" s="5"/>
      <c r="I107" s="6"/>
    </row>
    <row r="108" ht="15.75" customHeight="1">
      <c r="G108" s="5"/>
      <c r="I108" s="6"/>
    </row>
    <row r="109" ht="15.75" customHeight="1">
      <c r="G109" s="5"/>
      <c r="I109" s="6"/>
    </row>
    <row r="110" ht="15.75" customHeight="1">
      <c r="G110" s="5"/>
      <c r="I110" s="6"/>
    </row>
    <row r="111" ht="15.75" customHeight="1">
      <c r="G111" s="5"/>
      <c r="I111" s="6"/>
    </row>
    <row r="112" ht="15.75" customHeight="1">
      <c r="G112" s="5"/>
      <c r="I112" s="6"/>
    </row>
    <row r="113" ht="15.75" customHeight="1">
      <c r="G113" s="5"/>
      <c r="I113" s="6"/>
    </row>
    <row r="114" ht="15.75" customHeight="1">
      <c r="G114" s="5"/>
      <c r="I114" s="6"/>
    </row>
    <row r="115" ht="15.75" customHeight="1">
      <c r="G115" s="5"/>
      <c r="I115" s="6"/>
    </row>
    <row r="116" ht="15.75" customHeight="1">
      <c r="G116" s="5"/>
      <c r="I116" s="6"/>
    </row>
    <row r="117" ht="15.75" customHeight="1">
      <c r="G117" s="5"/>
      <c r="I117" s="6"/>
    </row>
    <row r="118" ht="15.75" customHeight="1">
      <c r="G118" s="5"/>
      <c r="I118" s="6"/>
    </row>
    <row r="119" ht="15.75" customHeight="1">
      <c r="G119" s="5"/>
      <c r="I119" s="6"/>
    </row>
    <row r="120" ht="15.75" customHeight="1">
      <c r="G120" s="5"/>
      <c r="I120" s="6"/>
    </row>
    <row r="121" ht="15.75" customHeight="1">
      <c r="G121" s="5"/>
      <c r="I121" s="6"/>
    </row>
    <row r="122" ht="15.75" customHeight="1">
      <c r="G122" s="5"/>
      <c r="I122" s="6"/>
    </row>
    <row r="123" ht="15.75" customHeight="1">
      <c r="G123" s="5"/>
      <c r="I123" s="6"/>
    </row>
    <row r="124" ht="15.75" customHeight="1">
      <c r="G124" s="5"/>
      <c r="I124" s="6"/>
    </row>
    <row r="125" ht="15.75" customHeight="1">
      <c r="G125" s="5"/>
      <c r="I125" s="6"/>
    </row>
    <row r="126" ht="15.75" customHeight="1">
      <c r="G126" s="5"/>
      <c r="I126" s="6"/>
    </row>
    <row r="127" ht="15.75" customHeight="1">
      <c r="G127" s="5"/>
      <c r="I127" s="6"/>
    </row>
    <row r="128" ht="15.75" customHeight="1">
      <c r="G128" s="5"/>
      <c r="I128" s="6"/>
    </row>
    <row r="129" ht="15.75" customHeight="1">
      <c r="G129" s="5"/>
      <c r="I129" s="6"/>
    </row>
    <row r="130" ht="15.75" customHeight="1">
      <c r="G130" s="5"/>
      <c r="I130" s="6"/>
    </row>
    <row r="131" ht="15.75" customHeight="1">
      <c r="G131" s="5"/>
      <c r="I131" s="6"/>
    </row>
    <row r="132" ht="15.75" customHeight="1">
      <c r="G132" s="5"/>
      <c r="I132" s="6"/>
    </row>
    <row r="133" ht="15.75" customHeight="1">
      <c r="G133" s="5"/>
      <c r="I133" s="6"/>
    </row>
    <row r="134" ht="15.75" customHeight="1">
      <c r="G134" s="5"/>
      <c r="I134" s="6"/>
    </row>
    <row r="135" ht="15.75" customHeight="1">
      <c r="G135" s="5"/>
      <c r="I135" s="6"/>
    </row>
    <row r="136" ht="15.75" customHeight="1">
      <c r="G136" s="5"/>
      <c r="I136" s="6"/>
    </row>
    <row r="137" ht="15.75" customHeight="1">
      <c r="G137" s="5"/>
      <c r="I137" s="6"/>
    </row>
    <row r="138" ht="15.75" customHeight="1">
      <c r="G138" s="5"/>
      <c r="I138" s="6"/>
    </row>
    <row r="139" ht="15.75" customHeight="1">
      <c r="G139" s="5"/>
      <c r="I139" s="6"/>
    </row>
    <row r="140" ht="15.75" customHeight="1">
      <c r="G140" s="5"/>
      <c r="I140" s="6"/>
    </row>
    <row r="141" ht="15.75" customHeight="1">
      <c r="G141" s="5"/>
      <c r="I141" s="6"/>
    </row>
    <row r="142" ht="15.75" customHeight="1">
      <c r="G142" s="5"/>
      <c r="I142" s="6"/>
    </row>
    <row r="143" ht="15.75" customHeight="1">
      <c r="G143" s="5"/>
      <c r="I143" s="6"/>
    </row>
    <row r="144" ht="15.75" customHeight="1">
      <c r="G144" s="5"/>
      <c r="I144" s="6"/>
    </row>
    <row r="145" ht="15.75" customHeight="1">
      <c r="G145" s="5"/>
      <c r="I145" s="6"/>
    </row>
    <row r="146" ht="15.75" customHeight="1">
      <c r="G146" s="5"/>
      <c r="I146" s="6"/>
    </row>
    <row r="147" ht="15.75" customHeight="1">
      <c r="G147" s="5"/>
      <c r="I147" s="6"/>
    </row>
    <row r="148" ht="15.75" customHeight="1">
      <c r="G148" s="5"/>
      <c r="I148" s="6"/>
    </row>
    <row r="149" ht="15.75" customHeight="1">
      <c r="G149" s="5"/>
      <c r="I149" s="6"/>
    </row>
    <row r="150" ht="15.75" customHeight="1">
      <c r="G150" s="5"/>
      <c r="I150" s="6"/>
    </row>
    <row r="151" ht="15.75" customHeight="1">
      <c r="G151" s="5"/>
      <c r="I151" s="6"/>
    </row>
    <row r="152" ht="15.75" customHeight="1">
      <c r="G152" s="5"/>
      <c r="I152" s="6"/>
    </row>
    <row r="153" ht="15.75" customHeight="1">
      <c r="G153" s="5"/>
      <c r="I153" s="6"/>
    </row>
    <row r="154" ht="15.75" customHeight="1">
      <c r="G154" s="5"/>
      <c r="I154" s="6"/>
    </row>
    <row r="155" ht="15.75" customHeight="1">
      <c r="G155" s="5"/>
      <c r="I155" s="6"/>
    </row>
    <row r="156" ht="15.75" customHeight="1">
      <c r="G156" s="5"/>
      <c r="I156" s="6"/>
    </row>
    <row r="157" ht="15.75" customHeight="1">
      <c r="G157" s="5"/>
      <c r="I157" s="6"/>
    </row>
    <row r="158" ht="15.75" customHeight="1">
      <c r="G158" s="5"/>
      <c r="I158" s="6"/>
    </row>
    <row r="159" ht="15.75" customHeight="1">
      <c r="G159" s="5"/>
      <c r="I159" s="6"/>
    </row>
    <row r="160" ht="15.75" customHeight="1">
      <c r="G160" s="5"/>
      <c r="I160" s="6"/>
    </row>
    <row r="161" ht="15.75" customHeight="1">
      <c r="G161" s="5"/>
      <c r="I161" s="6"/>
    </row>
    <row r="162" ht="15.75" customHeight="1">
      <c r="G162" s="5"/>
      <c r="I162" s="6"/>
    </row>
    <row r="163" ht="15.75" customHeight="1">
      <c r="G163" s="5"/>
      <c r="I163" s="6"/>
    </row>
    <row r="164" ht="15.75" customHeight="1">
      <c r="G164" s="5"/>
      <c r="I164" s="6"/>
    </row>
    <row r="165" ht="15.75" customHeight="1">
      <c r="G165" s="5"/>
      <c r="I165" s="6"/>
    </row>
    <row r="166" ht="15.75" customHeight="1">
      <c r="G166" s="5"/>
      <c r="I166" s="6"/>
    </row>
    <row r="167" ht="15.75" customHeight="1">
      <c r="G167" s="5"/>
      <c r="I167" s="6"/>
    </row>
    <row r="168" ht="15.75" customHeight="1">
      <c r="G168" s="5"/>
      <c r="I168" s="6"/>
    </row>
    <row r="169" ht="15.75" customHeight="1">
      <c r="G169" s="5"/>
      <c r="I169" s="6"/>
    </row>
    <row r="170" ht="15.75" customHeight="1">
      <c r="G170" s="5"/>
      <c r="I170" s="6"/>
    </row>
    <row r="171" ht="15.75" customHeight="1">
      <c r="G171" s="5"/>
      <c r="I171" s="6"/>
    </row>
    <row r="172" ht="15.75" customHeight="1">
      <c r="G172" s="5"/>
      <c r="I172" s="6"/>
    </row>
    <row r="173" ht="15.75" customHeight="1">
      <c r="G173" s="5"/>
      <c r="I173" s="6"/>
    </row>
    <row r="174" ht="15.75" customHeight="1">
      <c r="G174" s="5"/>
      <c r="I174" s="6"/>
    </row>
    <row r="175" ht="15.75" customHeight="1">
      <c r="G175" s="5"/>
      <c r="I175" s="6"/>
    </row>
    <row r="176" ht="15.75" customHeight="1">
      <c r="G176" s="5"/>
      <c r="I176" s="6"/>
    </row>
    <row r="177" ht="15.75" customHeight="1">
      <c r="G177" s="5"/>
      <c r="I177" s="6"/>
    </row>
    <row r="178" ht="15.75" customHeight="1">
      <c r="G178" s="5"/>
      <c r="I178" s="6"/>
    </row>
    <row r="179" ht="15.75" customHeight="1">
      <c r="G179" s="5"/>
      <c r="I179" s="6"/>
    </row>
    <row r="180" ht="15.75" customHeight="1">
      <c r="G180" s="5"/>
      <c r="I180" s="6"/>
    </row>
    <row r="181" ht="15.75" customHeight="1">
      <c r="G181" s="5"/>
      <c r="I181" s="6"/>
    </row>
    <row r="182" ht="15.75" customHeight="1">
      <c r="G182" s="5"/>
      <c r="I182" s="6"/>
    </row>
    <row r="183" ht="15.75" customHeight="1">
      <c r="G183" s="5"/>
      <c r="I183" s="6"/>
    </row>
    <row r="184" ht="15.75" customHeight="1">
      <c r="G184" s="5"/>
      <c r="I184" s="6"/>
    </row>
    <row r="185" ht="15.75" customHeight="1">
      <c r="G185" s="5"/>
      <c r="I185" s="6"/>
    </row>
    <row r="186" ht="15.75" customHeight="1">
      <c r="G186" s="5"/>
      <c r="I186" s="6"/>
    </row>
    <row r="187" ht="15.75" customHeight="1">
      <c r="G187" s="5"/>
      <c r="I187" s="6"/>
    </row>
    <row r="188" ht="15.75" customHeight="1">
      <c r="G188" s="5"/>
      <c r="I188" s="6"/>
    </row>
    <row r="189" ht="15.75" customHeight="1">
      <c r="G189" s="5"/>
      <c r="I189" s="6"/>
    </row>
    <row r="190" ht="15.75" customHeight="1">
      <c r="G190" s="5"/>
      <c r="I190" s="6"/>
    </row>
    <row r="191" ht="15.75" customHeight="1">
      <c r="G191" s="5"/>
      <c r="I191" s="6"/>
    </row>
    <row r="192" ht="15.75" customHeight="1">
      <c r="G192" s="5"/>
      <c r="I192" s="6"/>
    </row>
    <row r="193" ht="15.75" customHeight="1">
      <c r="G193" s="5"/>
      <c r="I193" s="6"/>
    </row>
    <row r="194" ht="15.75" customHeight="1">
      <c r="G194" s="5"/>
      <c r="I194" s="6"/>
    </row>
    <row r="195" ht="15.75" customHeight="1">
      <c r="G195" s="5"/>
      <c r="I195" s="6"/>
    </row>
    <row r="196" ht="15.75" customHeight="1">
      <c r="G196" s="5"/>
      <c r="I196" s="6"/>
    </row>
    <row r="197" ht="15.75" customHeight="1">
      <c r="G197" s="5"/>
      <c r="I197" s="6"/>
    </row>
    <row r="198" ht="15.75" customHeight="1">
      <c r="G198" s="5"/>
      <c r="I198" s="6"/>
    </row>
    <row r="199" ht="15.75" customHeight="1">
      <c r="G199" s="5"/>
      <c r="I199" s="6"/>
    </row>
    <row r="200" ht="15.75" customHeight="1">
      <c r="G200" s="5"/>
      <c r="I200" s="6"/>
    </row>
    <row r="201" ht="15.75" customHeight="1">
      <c r="G201" s="5"/>
      <c r="I201" s="6"/>
    </row>
    <row r="202" ht="15.75" customHeight="1">
      <c r="G202" s="5"/>
      <c r="I202" s="6"/>
    </row>
    <row r="203" ht="15.75" customHeight="1">
      <c r="G203" s="5"/>
      <c r="I203" s="6"/>
    </row>
    <row r="204" ht="15.75" customHeight="1">
      <c r="G204" s="5"/>
      <c r="I204" s="6"/>
    </row>
    <row r="205" ht="15.75" customHeight="1">
      <c r="G205" s="5"/>
      <c r="I205" s="6"/>
    </row>
    <row r="206" ht="15.75" customHeight="1">
      <c r="G206" s="5"/>
      <c r="I206" s="6"/>
    </row>
    <row r="207" ht="15.75" customHeight="1">
      <c r="G207" s="5"/>
      <c r="I207" s="6"/>
    </row>
    <row r="208" ht="15.75" customHeight="1">
      <c r="G208" s="5"/>
      <c r="I208" s="6"/>
    </row>
    <row r="209" ht="15.75" customHeight="1">
      <c r="G209" s="5"/>
      <c r="I209" s="6"/>
    </row>
    <row r="210" ht="15.75" customHeight="1">
      <c r="G210" s="5"/>
      <c r="I210" s="6"/>
    </row>
    <row r="211" ht="15.75" customHeight="1">
      <c r="G211" s="5"/>
      <c r="I211" s="6"/>
    </row>
    <row r="212" ht="15.75" customHeight="1">
      <c r="G212" s="5"/>
      <c r="I212" s="6"/>
    </row>
    <row r="213" ht="15.75" customHeight="1">
      <c r="G213" s="5"/>
      <c r="I213" s="6"/>
    </row>
    <row r="214" ht="15.75" customHeight="1">
      <c r="G214" s="5"/>
      <c r="I214" s="6"/>
    </row>
    <row r="215" ht="15.75" customHeight="1">
      <c r="G215" s="5"/>
      <c r="I215" s="6"/>
    </row>
    <row r="216" ht="15.75" customHeight="1">
      <c r="G216" s="5"/>
      <c r="I216" s="6"/>
    </row>
    <row r="217" ht="15.75" customHeight="1">
      <c r="G217" s="5"/>
      <c r="I217" s="6"/>
    </row>
    <row r="218" ht="15.75" customHeight="1">
      <c r="G218" s="5"/>
      <c r="I218" s="6"/>
    </row>
    <row r="219" ht="15.75" customHeight="1">
      <c r="G219" s="5"/>
      <c r="I219" s="6"/>
    </row>
    <row r="220" ht="15.75" customHeight="1">
      <c r="G220" s="5"/>
      <c r="I220" s="6"/>
    </row>
    <row r="221" ht="15.75" customHeight="1">
      <c r="G221" s="5"/>
      <c r="I221" s="6"/>
    </row>
    <row r="222" ht="15.75" customHeight="1">
      <c r="G222" s="5"/>
      <c r="I222" s="6"/>
    </row>
    <row r="223" ht="15.75" customHeight="1">
      <c r="G223" s="5"/>
      <c r="I223" s="6"/>
    </row>
    <row r="224" ht="15.75" customHeight="1">
      <c r="G224" s="5"/>
      <c r="I224" s="6"/>
    </row>
    <row r="225" ht="15.75" customHeight="1">
      <c r="G225" s="5"/>
      <c r="I225" s="6"/>
    </row>
    <row r="226" ht="15.75" customHeight="1">
      <c r="G226" s="5"/>
      <c r="I226" s="6"/>
    </row>
    <row r="227" ht="15.75" customHeight="1">
      <c r="G227" s="5"/>
      <c r="I227" s="6"/>
    </row>
    <row r="228" ht="15.75" customHeight="1">
      <c r="G228" s="5"/>
      <c r="I228" s="6"/>
    </row>
    <row r="229" ht="15.75" customHeight="1">
      <c r="G229" s="5"/>
      <c r="I229" s="6"/>
    </row>
    <row r="230" ht="15.75" customHeight="1">
      <c r="G230" s="5"/>
      <c r="I230" s="6"/>
    </row>
    <row r="231" ht="15.75" customHeight="1">
      <c r="G231" s="5"/>
      <c r="I231" s="6"/>
    </row>
    <row r="232" ht="15.75" customHeight="1">
      <c r="G232" s="5"/>
      <c r="I232" s="6"/>
    </row>
    <row r="233" ht="15.75" customHeight="1">
      <c r="G233" s="5"/>
      <c r="I233" s="6"/>
    </row>
    <row r="234" ht="15.75" customHeight="1">
      <c r="G234" s="5"/>
      <c r="I234" s="6"/>
    </row>
    <row r="235" ht="15.75" customHeight="1">
      <c r="G235" s="5"/>
      <c r="I235" s="6"/>
    </row>
    <row r="236" ht="15.75" customHeight="1">
      <c r="G236" s="5"/>
      <c r="I236" s="6"/>
    </row>
    <row r="237" ht="15.75" customHeight="1">
      <c r="G237" s="5"/>
      <c r="I237" s="6"/>
    </row>
    <row r="238" ht="15.75" customHeight="1">
      <c r="G238" s="5"/>
      <c r="I238" s="6"/>
    </row>
    <row r="239" ht="15.75" customHeight="1">
      <c r="G239" s="5"/>
      <c r="I239" s="6"/>
    </row>
    <row r="240" ht="15.75" customHeight="1">
      <c r="G240" s="5"/>
      <c r="I240" s="6"/>
    </row>
    <row r="241" ht="15.75" customHeight="1">
      <c r="G241" s="5"/>
      <c r="I241" s="6"/>
    </row>
    <row r="242" ht="15.75" customHeight="1">
      <c r="G242" s="5"/>
      <c r="I242" s="6"/>
    </row>
    <row r="243" ht="15.75" customHeight="1">
      <c r="G243" s="5"/>
      <c r="I243" s="6"/>
    </row>
    <row r="244" ht="15.75" customHeight="1">
      <c r="G244" s="5"/>
      <c r="I244" s="6"/>
    </row>
    <row r="245" ht="15.75" customHeight="1">
      <c r="G245" s="5"/>
      <c r="I245" s="6"/>
    </row>
    <row r="246" ht="15.75" customHeight="1">
      <c r="G246" s="5"/>
      <c r="I246" s="6"/>
    </row>
    <row r="247" ht="15.75" customHeight="1">
      <c r="G247" s="5"/>
      <c r="I247" s="6"/>
    </row>
    <row r="248" ht="15.75" customHeight="1">
      <c r="G248" s="5"/>
      <c r="I248" s="6"/>
    </row>
    <row r="249" ht="15.75" customHeight="1">
      <c r="G249" s="5"/>
      <c r="I249" s="6"/>
    </row>
    <row r="250" ht="15.75" customHeight="1">
      <c r="G250" s="5"/>
      <c r="I250" s="6"/>
    </row>
    <row r="251" ht="15.75" customHeight="1">
      <c r="G251" s="5"/>
      <c r="I251" s="6"/>
    </row>
    <row r="252" ht="15.75" customHeight="1">
      <c r="G252" s="5"/>
      <c r="I252" s="6"/>
    </row>
    <row r="253" ht="15.75" customHeight="1">
      <c r="G253" s="5"/>
      <c r="I253" s="6"/>
    </row>
    <row r="254" ht="15.75" customHeight="1">
      <c r="G254" s="5"/>
      <c r="I254" s="6"/>
    </row>
    <row r="255" ht="15.75" customHeight="1">
      <c r="G255" s="5"/>
      <c r="I255" s="6"/>
    </row>
    <row r="256" ht="15.75" customHeight="1">
      <c r="G256" s="5"/>
      <c r="I256" s="6"/>
    </row>
    <row r="257" ht="15.75" customHeight="1">
      <c r="G257" s="5"/>
      <c r="I257" s="6"/>
    </row>
    <row r="258" ht="15.75" customHeight="1">
      <c r="G258" s="5"/>
      <c r="I258" s="6"/>
    </row>
    <row r="259" ht="15.75" customHeight="1">
      <c r="G259" s="5"/>
      <c r="I259" s="6"/>
    </row>
    <row r="260" ht="15.75" customHeight="1">
      <c r="G260" s="5"/>
      <c r="I260" s="6"/>
    </row>
    <row r="261" ht="15.75" customHeight="1">
      <c r="G261" s="5"/>
      <c r="I261" s="6"/>
    </row>
    <row r="262" ht="15.75" customHeight="1">
      <c r="G262" s="5"/>
      <c r="I262" s="6"/>
    </row>
    <row r="263" ht="15.75" customHeight="1">
      <c r="G263" s="5"/>
      <c r="I263" s="6"/>
    </row>
    <row r="264" ht="15.75" customHeight="1">
      <c r="G264" s="5"/>
      <c r="I264" s="6"/>
    </row>
    <row r="265" ht="15.75" customHeight="1">
      <c r="G265" s="5"/>
      <c r="I265" s="6"/>
    </row>
    <row r="266" ht="15.75" customHeight="1">
      <c r="G266" s="5"/>
      <c r="I266" s="6"/>
    </row>
    <row r="267" ht="15.75" customHeight="1">
      <c r="G267" s="5"/>
      <c r="I267" s="6"/>
    </row>
    <row r="268" ht="15.75" customHeight="1">
      <c r="G268" s="5"/>
      <c r="I268" s="6"/>
    </row>
    <row r="269" ht="15.75" customHeight="1">
      <c r="G269" s="5"/>
      <c r="I269" s="6"/>
    </row>
    <row r="270" ht="15.75" customHeight="1">
      <c r="G270" s="5"/>
      <c r="I270" s="6"/>
    </row>
    <row r="271" ht="15.75" customHeight="1">
      <c r="G271" s="5"/>
      <c r="I271" s="6"/>
    </row>
    <row r="272" ht="15.75" customHeight="1">
      <c r="G272" s="5"/>
      <c r="I272" s="6"/>
    </row>
    <row r="273" ht="15.75" customHeight="1">
      <c r="G273" s="5"/>
      <c r="I273" s="6"/>
    </row>
    <row r="274" ht="15.75" customHeight="1">
      <c r="G274" s="5"/>
      <c r="I274" s="6"/>
    </row>
    <row r="275" ht="15.75" customHeight="1">
      <c r="G275" s="5"/>
      <c r="I275" s="6"/>
    </row>
    <row r="276" ht="15.75" customHeight="1">
      <c r="G276" s="5"/>
      <c r="I276" s="6"/>
    </row>
    <row r="277" ht="15.75" customHeight="1">
      <c r="G277" s="5"/>
      <c r="I277" s="6"/>
    </row>
    <row r="278" ht="15.75" customHeight="1">
      <c r="G278" s="5"/>
      <c r="I278" s="6"/>
    </row>
    <row r="279" ht="15.75" customHeight="1">
      <c r="G279" s="5"/>
      <c r="I279" s="6"/>
    </row>
    <row r="280" ht="15.75" customHeight="1">
      <c r="G280" s="5"/>
      <c r="I280" s="6"/>
    </row>
    <row r="281" ht="15.75" customHeight="1">
      <c r="G281" s="5"/>
      <c r="I281" s="6"/>
    </row>
    <row r="282" ht="15.75" customHeight="1">
      <c r="G282" s="5"/>
      <c r="I282" s="6"/>
    </row>
    <row r="283" ht="15.75" customHeight="1">
      <c r="G283" s="5"/>
      <c r="I283" s="6"/>
    </row>
    <row r="284" ht="15.75" customHeight="1">
      <c r="G284" s="5"/>
      <c r="I284" s="6"/>
    </row>
    <row r="285" ht="15.75" customHeight="1">
      <c r="G285" s="5"/>
      <c r="I285" s="6"/>
    </row>
    <row r="286" ht="15.75" customHeight="1">
      <c r="G286" s="5"/>
      <c r="I286" s="6"/>
    </row>
    <row r="287" ht="15.75" customHeight="1">
      <c r="G287" s="5"/>
      <c r="I287" s="6"/>
    </row>
    <row r="288" ht="15.75" customHeight="1">
      <c r="G288" s="5"/>
      <c r="I288" s="6"/>
    </row>
    <row r="289" ht="15.75" customHeight="1">
      <c r="G289" s="5"/>
      <c r="I289" s="6"/>
    </row>
    <row r="290" ht="15.75" customHeight="1">
      <c r="G290" s="5"/>
      <c r="I290" s="6"/>
    </row>
    <row r="291" ht="15.75" customHeight="1">
      <c r="G291" s="5"/>
      <c r="I291" s="6"/>
    </row>
    <row r="292" ht="15.75" customHeight="1">
      <c r="G292" s="5"/>
      <c r="I292" s="6"/>
    </row>
    <row r="293" ht="15.75" customHeight="1">
      <c r="G293" s="5"/>
      <c r="I293" s="6"/>
    </row>
    <row r="294" ht="15.75" customHeight="1">
      <c r="G294" s="5"/>
      <c r="I294" s="6"/>
    </row>
    <row r="295" ht="15.75" customHeight="1">
      <c r="G295" s="5"/>
      <c r="I295" s="6"/>
    </row>
    <row r="296" ht="15.75" customHeight="1">
      <c r="G296" s="5"/>
      <c r="I296" s="6"/>
    </row>
    <row r="297" ht="15.75" customHeight="1">
      <c r="G297" s="5"/>
      <c r="I297" s="6"/>
    </row>
    <row r="298" ht="15.75" customHeight="1">
      <c r="G298" s="5"/>
      <c r="I298" s="6"/>
    </row>
    <row r="299" ht="15.75" customHeight="1">
      <c r="G299" s="5"/>
      <c r="I299" s="6"/>
    </row>
    <row r="300" ht="15.75" customHeight="1">
      <c r="G300" s="5"/>
      <c r="I300" s="6"/>
    </row>
    <row r="301" ht="15.75" customHeight="1">
      <c r="G301" s="5"/>
      <c r="I301" s="6"/>
    </row>
    <row r="302" ht="15.75" customHeight="1">
      <c r="G302" s="5"/>
      <c r="I302" s="6"/>
    </row>
    <row r="303" ht="15.75" customHeight="1">
      <c r="G303" s="5"/>
      <c r="I303" s="6"/>
    </row>
    <row r="304" ht="15.75" customHeight="1">
      <c r="G304" s="5"/>
      <c r="I304" s="6"/>
    </row>
    <row r="305" ht="15.75" customHeight="1">
      <c r="G305" s="5"/>
      <c r="I305" s="6"/>
    </row>
    <row r="306" ht="15.75" customHeight="1">
      <c r="G306" s="5"/>
      <c r="I306" s="6"/>
    </row>
    <row r="307" ht="15.75" customHeight="1">
      <c r="G307" s="5"/>
      <c r="I307" s="6"/>
    </row>
    <row r="308" ht="15.75" customHeight="1">
      <c r="G308" s="5"/>
      <c r="I308" s="6"/>
    </row>
    <row r="309" ht="15.75" customHeight="1">
      <c r="G309" s="5"/>
      <c r="I309" s="6"/>
    </row>
    <row r="310" ht="15.75" customHeight="1">
      <c r="G310" s="5"/>
      <c r="I310" s="6"/>
    </row>
    <row r="311" ht="15.75" customHeight="1">
      <c r="G311" s="5"/>
      <c r="I311" s="6"/>
    </row>
    <row r="312" ht="15.75" customHeight="1">
      <c r="G312" s="5"/>
      <c r="I312" s="6"/>
    </row>
    <row r="313" ht="15.75" customHeight="1">
      <c r="G313" s="5"/>
      <c r="I313" s="6"/>
    </row>
    <row r="314" ht="15.75" customHeight="1">
      <c r="G314" s="5"/>
      <c r="I314" s="6"/>
    </row>
    <row r="315" ht="15.75" customHeight="1">
      <c r="G315" s="5"/>
      <c r="I315" s="6"/>
    </row>
    <row r="316" ht="15.75" customHeight="1">
      <c r="G316" s="5"/>
      <c r="I316" s="6"/>
    </row>
    <row r="317" ht="15.75" customHeight="1">
      <c r="G317" s="5"/>
      <c r="I317" s="6"/>
    </row>
    <row r="318" ht="15.75" customHeight="1">
      <c r="G318" s="5"/>
      <c r="I318" s="6"/>
    </row>
    <row r="319" ht="15.75" customHeight="1">
      <c r="G319" s="5"/>
      <c r="I319" s="6"/>
    </row>
    <row r="320" ht="15.75" customHeight="1">
      <c r="G320" s="5"/>
      <c r="I320" s="6"/>
    </row>
    <row r="321" ht="15.75" customHeight="1">
      <c r="G321" s="5"/>
      <c r="I321" s="6"/>
    </row>
    <row r="322" ht="15.75" customHeight="1">
      <c r="G322" s="5"/>
      <c r="I322" s="6"/>
    </row>
    <row r="323" ht="15.75" customHeight="1">
      <c r="G323" s="5"/>
      <c r="I323" s="6"/>
    </row>
    <row r="324" ht="15.75" customHeight="1">
      <c r="G324" s="5"/>
      <c r="I324" s="6"/>
    </row>
    <row r="325" ht="15.75" customHeight="1">
      <c r="G325" s="5"/>
      <c r="I325" s="6"/>
    </row>
    <row r="326" ht="15.75" customHeight="1">
      <c r="G326" s="5"/>
      <c r="I326" s="6"/>
    </row>
    <row r="327" ht="15.75" customHeight="1">
      <c r="G327" s="5"/>
      <c r="I327" s="6"/>
    </row>
    <row r="328" ht="15.75" customHeight="1">
      <c r="G328" s="5"/>
      <c r="I328" s="6"/>
    </row>
    <row r="329" ht="15.75" customHeight="1">
      <c r="G329" s="5"/>
      <c r="I329" s="6"/>
    </row>
    <row r="330" ht="15.75" customHeight="1">
      <c r="G330" s="5"/>
      <c r="I330" s="6"/>
    </row>
    <row r="331" ht="15.75" customHeight="1">
      <c r="G331" s="5"/>
      <c r="I331" s="6"/>
    </row>
    <row r="332" ht="15.75" customHeight="1">
      <c r="G332" s="5"/>
      <c r="I332" s="6"/>
    </row>
    <row r="333" ht="15.75" customHeight="1">
      <c r="G333" s="5"/>
      <c r="I333" s="6"/>
    </row>
    <row r="334" ht="15.75" customHeight="1">
      <c r="G334" s="5"/>
      <c r="I334" s="6"/>
    </row>
    <row r="335" ht="15.75" customHeight="1">
      <c r="G335" s="5"/>
      <c r="I335" s="6"/>
    </row>
    <row r="336" ht="15.75" customHeight="1">
      <c r="G336" s="5"/>
      <c r="I336" s="6"/>
    </row>
    <row r="337" ht="15.75" customHeight="1">
      <c r="G337" s="5"/>
      <c r="I337" s="6"/>
    </row>
    <row r="338" ht="15.75" customHeight="1">
      <c r="G338" s="5"/>
      <c r="I338" s="6"/>
    </row>
    <row r="339" ht="15.75" customHeight="1">
      <c r="G339" s="5"/>
      <c r="I339" s="6"/>
    </row>
    <row r="340" ht="15.75" customHeight="1">
      <c r="G340" s="5"/>
      <c r="I340" s="6"/>
    </row>
    <row r="341" ht="15.75" customHeight="1">
      <c r="G341" s="5"/>
      <c r="I341" s="6"/>
    </row>
    <row r="342" ht="15.75" customHeight="1">
      <c r="G342" s="5"/>
      <c r="I342" s="6"/>
    </row>
    <row r="343" ht="15.75" customHeight="1">
      <c r="G343" s="5"/>
      <c r="I343" s="6"/>
    </row>
    <row r="344" ht="15.75" customHeight="1">
      <c r="G344" s="5"/>
      <c r="I344" s="6"/>
    </row>
    <row r="345" ht="15.75" customHeight="1">
      <c r="G345" s="5"/>
      <c r="I345" s="6"/>
    </row>
    <row r="346" ht="15.75" customHeight="1">
      <c r="G346" s="5"/>
      <c r="I346" s="6"/>
    </row>
    <row r="347" ht="15.75" customHeight="1">
      <c r="G347" s="5"/>
      <c r="I347" s="6"/>
    </row>
    <row r="348" ht="15.75" customHeight="1">
      <c r="G348" s="5"/>
      <c r="I348" s="6"/>
    </row>
    <row r="349" ht="15.75" customHeight="1">
      <c r="G349" s="5"/>
      <c r="I349" s="6"/>
    </row>
    <row r="350" ht="15.75" customHeight="1">
      <c r="G350" s="5"/>
      <c r="I350" s="6"/>
    </row>
    <row r="351" ht="15.75" customHeight="1">
      <c r="G351" s="5"/>
      <c r="I351" s="6"/>
    </row>
    <row r="352" ht="15.75" customHeight="1">
      <c r="G352" s="5"/>
      <c r="I352" s="6"/>
    </row>
    <row r="353" ht="15.75" customHeight="1">
      <c r="G353" s="5"/>
      <c r="I353" s="6"/>
    </row>
    <row r="354" ht="15.75" customHeight="1">
      <c r="G354" s="5"/>
      <c r="I354" s="6"/>
    </row>
    <row r="355" ht="15.75" customHeight="1">
      <c r="G355" s="5"/>
      <c r="I355" s="6"/>
    </row>
    <row r="356" ht="15.75" customHeight="1">
      <c r="G356" s="5"/>
      <c r="I356" s="6"/>
    </row>
    <row r="357" ht="15.75" customHeight="1">
      <c r="G357" s="5"/>
      <c r="I357" s="6"/>
    </row>
    <row r="358" ht="15.75" customHeight="1">
      <c r="G358" s="5"/>
      <c r="I358" s="6"/>
    </row>
    <row r="359" ht="15.75" customHeight="1">
      <c r="G359" s="5"/>
      <c r="I359" s="6"/>
    </row>
    <row r="360" ht="15.75" customHeight="1">
      <c r="G360" s="5"/>
      <c r="I360" s="6"/>
    </row>
    <row r="361" ht="15.75" customHeight="1">
      <c r="G361" s="5"/>
      <c r="I361" s="6"/>
    </row>
    <row r="362" ht="15.75" customHeight="1">
      <c r="G362" s="5"/>
      <c r="I362" s="6"/>
    </row>
    <row r="363" ht="15.75" customHeight="1">
      <c r="G363" s="5"/>
      <c r="I363" s="6"/>
    </row>
    <row r="364" ht="15.75" customHeight="1">
      <c r="G364" s="5"/>
      <c r="I364" s="6"/>
    </row>
    <row r="365" ht="15.75" customHeight="1">
      <c r="G365" s="5"/>
      <c r="I365" s="6"/>
    </row>
    <row r="366" ht="15.75" customHeight="1">
      <c r="G366" s="5"/>
      <c r="I366" s="6"/>
    </row>
    <row r="367" ht="15.75" customHeight="1">
      <c r="G367" s="5"/>
      <c r="I367" s="6"/>
    </row>
    <row r="368" ht="15.75" customHeight="1">
      <c r="G368" s="5"/>
      <c r="I368" s="6"/>
    </row>
    <row r="369" ht="15.75" customHeight="1">
      <c r="G369" s="5"/>
      <c r="I369" s="6"/>
    </row>
    <row r="370" ht="15.75" customHeight="1">
      <c r="G370" s="5"/>
      <c r="I370" s="6"/>
    </row>
    <row r="371" ht="15.75" customHeight="1">
      <c r="G371" s="5"/>
      <c r="I371" s="6"/>
    </row>
    <row r="372" ht="15.75" customHeight="1">
      <c r="G372" s="5"/>
      <c r="I372" s="6"/>
    </row>
    <row r="373" ht="15.75" customHeight="1">
      <c r="G373" s="5"/>
      <c r="I373" s="6"/>
    </row>
    <row r="374" ht="15.75" customHeight="1">
      <c r="G374" s="5"/>
      <c r="I374" s="6"/>
    </row>
    <row r="375" ht="15.75" customHeight="1">
      <c r="G375" s="5"/>
      <c r="I375" s="6"/>
    </row>
    <row r="376" ht="15.75" customHeight="1">
      <c r="G376" s="5"/>
      <c r="I376" s="6"/>
    </row>
    <row r="377" ht="15.75" customHeight="1">
      <c r="G377" s="5"/>
      <c r="I377" s="6"/>
    </row>
    <row r="378" ht="15.75" customHeight="1">
      <c r="G378" s="5"/>
      <c r="I378" s="6"/>
    </row>
    <row r="379" ht="15.75" customHeight="1">
      <c r="G379" s="5"/>
      <c r="I379" s="6"/>
    </row>
    <row r="380" ht="15.75" customHeight="1">
      <c r="G380" s="5"/>
      <c r="I380" s="6"/>
    </row>
    <row r="381" ht="15.75" customHeight="1">
      <c r="G381" s="5"/>
      <c r="I381" s="6"/>
    </row>
    <row r="382" ht="15.75" customHeight="1">
      <c r="G382" s="5"/>
      <c r="I382" s="6"/>
    </row>
    <row r="383" ht="15.75" customHeight="1">
      <c r="G383" s="5"/>
      <c r="I383" s="6"/>
    </row>
    <row r="384" ht="15.75" customHeight="1">
      <c r="G384" s="5"/>
      <c r="I384" s="6"/>
    </row>
    <row r="385" ht="15.75" customHeight="1">
      <c r="G385" s="5"/>
      <c r="I385" s="6"/>
    </row>
    <row r="386" ht="15.75" customHeight="1">
      <c r="G386" s="5"/>
      <c r="I386" s="6"/>
    </row>
    <row r="387" ht="15.75" customHeight="1">
      <c r="G387" s="5"/>
      <c r="I387" s="6"/>
    </row>
    <row r="388" ht="15.75" customHeight="1">
      <c r="G388" s="5"/>
      <c r="I388" s="6"/>
    </row>
    <row r="389" ht="15.75" customHeight="1">
      <c r="G389" s="5"/>
      <c r="I389" s="6"/>
    </row>
    <row r="390" ht="15.75" customHeight="1">
      <c r="G390" s="5"/>
      <c r="I390" s="6"/>
    </row>
    <row r="391" ht="15.75" customHeight="1">
      <c r="G391" s="5"/>
      <c r="I391" s="6"/>
    </row>
    <row r="392" ht="15.75" customHeight="1">
      <c r="G392" s="5"/>
      <c r="I392" s="6"/>
    </row>
    <row r="393" ht="15.75" customHeight="1">
      <c r="G393" s="5"/>
      <c r="I393" s="6"/>
    </row>
    <row r="394" ht="15.75" customHeight="1">
      <c r="G394" s="5"/>
      <c r="I394" s="6"/>
    </row>
    <row r="395" ht="15.75" customHeight="1">
      <c r="G395" s="5"/>
      <c r="I395" s="6"/>
    </row>
    <row r="396" ht="15.75" customHeight="1">
      <c r="G396" s="5"/>
      <c r="I396" s="6"/>
    </row>
    <row r="397" ht="15.75" customHeight="1">
      <c r="G397" s="5"/>
      <c r="I397" s="6"/>
    </row>
    <row r="398" ht="15.75" customHeight="1">
      <c r="G398" s="5"/>
      <c r="I398" s="6"/>
    </row>
    <row r="399" ht="15.75" customHeight="1">
      <c r="G399" s="5"/>
      <c r="I399" s="6"/>
    </row>
    <row r="400" ht="15.75" customHeight="1">
      <c r="G400" s="5"/>
      <c r="I400" s="6"/>
    </row>
    <row r="401" ht="15.75" customHeight="1">
      <c r="G401" s="5"/>
      <c r="I401" s="6"/>
    </row>
    <row r="402" ht="15.75" customHeight="1">
      <c r="G402" s="5"/>
      <c r="I402" s="6"/>
    </row>
    <row r="403" ht="15.75" customHeight="1">
      <c r="G403" s="5"/>
      <c r="I403" s="6"/>
    </row>
    <row r="404" ht="15.75" customHeight="1">
      <c r="G404" s="5"/>
      <c r="I404" s="6"/>
    </row>
    <row r="405" ht="15.75" customHeight="1">
      <c r="G405" s="5"/>
      <c r="I405" s="6"/>
    </row>
    <row r="406" ht="15.75" customHeight="1">
      <c r="G406" s="5"/>
      <c r="I406" s="6"/>
    </row>
    <row r="407" ht="15.75" customHeight="1">
      <c r="G407" s="5"/>
      <c r="I407" s="6"/>
    </row>
    <row r="408" ht="15.75" customHeight="1">
      <c r="G408" s="5"/>
      <c r="I408" s="6"/>
    </row>
    <row r="409" ht="15.75" customHeight="1">
      <c r="G409" s="5"/>
      <c r="I409" s="6"/>
    </row>
    <row r="410" ht="15.75" customHeight="1">
      <c r="G410" s="5"/>
      <c r="I410" s="6"/>
    </row>
    <row r="411" ht="15.75" customHeight="1">
      <c r="G411" s="5"/>
      <c r="I411" s="6"/>
    </row>
    <row r="412" ht="15.75" customHeight="1">
      <c r="G412" s="5"/>
      <c r="I412" s="6"/>
    </row>
    <row r="413" ht="15.75" customHeight="1">
      <c r="G413" s="5"/>
      <c r="I413" s="6"/>
    </row>
    <row r="414" ht="15.75" customHeight="1">
      <c r="G414" s="5"/>
      <c r="I414" s="6"/>
    </row>
    <row r="415" ht="15.75" customHeight="1">
      <c r="G415" s="5"/>
      <c r="I415" s="6"/>
    </row>
    <row r="416" ht="15.75" customHeight="1">
      <c r="G416" s="5"/>
      <c r="I416" s="6"/>
    </row>
    <row r="417" ht="15.75" customHeight="1">
      <c r="G417" s="5"/>
      <c r="I417" s="6"/>
    </row>
    <row r="418" ht="15.75" customHeight="1">
      <c r="G418" s="5"/>
      <c r="I418" s="6"/>
    </row>
    <row r="419" ht="15.75" customHeight="1">
      <c r="G419" s="5"/>
      <c r="I419" s="6"/>
    </row>
    <row r="420" ht="15.75" customHeight="1">
      <c r="G420" s="5"/>
      <c r="I420" s="6"/>
    </row>
    <row r="421" ht="15.75" customHeight="1">
      <c r="G421" s="5"/>
      <c r="I421" s="6"/>
    </row>
    <row r="422" ht="15.75" customHeight="1">
      <c r="G422" s="5"/>
      <c r="I422" s="6"/>
    </row>
    <row r="423" ht="15.75" customHeight="1">
      <c r="G423" s="5"/>
      <c r="I423" s="6"/>
    </row>
    <row r="424" ht="15.75" customHeight="1">
      <c r="G424" s="5"/>
      <c r="I424" s="6"/>
    </row>
    <row r="425" ht="15.75" customHeight="1">
      <c r="G425" s="5"/>
      <c r="I425" s="6"/>
    </row>
    <row r="426" ht="15.75" customHeight="1">
      <c r="G426" s="5"/>
      <c r="I426" s="6"/>
    </row>
    <row r="427" ht="15.75" customHeight="1">
      <c r="G427" s="5"/>
      <c r="I427" s="6"/>
    </row>
    <row r="428" ht="15.75" customHeight="1">
      <c r="G428" s="5"/>
      <c r="I428" s="6"/>
    </row>
    <row r="429" ht="15.75" customHeight="1">
      <c r="G429" s="5"/>
      <c r="I429" s="6"/>
    </row>
    <row r="430" ht="15.75" customHeight="1">
      <c r="G430" s="5"/>
      <c r="I430" s="6"/>
    </row>
    <row r="431" ht="15.75" customHeight="1">
      <c r="G431" s="5"/>
      <c r="I431" s="6"/>
    </row>
    <row r="432" ht="15.75" customHeight="1">
      <c r="G432" s="5"/>
      <c r="I432" s="6"/>
    </row>
    <row r="433" ht="15.75" customHeight="1">
      <c r="G433" s="5"/>
      <c r="I433" s="6"/>
    </row>
    <row r="434" ht="15.75" customHeight="1">
      <c r="G434" s="5"/>
      <c r="I434" s="6"/>
    </row>
    <row r="435" ht="15.75" customHeight="1">
      <c r="G435" s="5"/>
      <c r="I435" s="6"/>
    </row>
    <row r="436" ht="15.75" customHeight="1">
      <c r="G436" s="5"/>
      <c r="I436" s="6"/>
    </row>
    <row r="437" ht="15.75" customHeight="1">
      <c r="G437" s="5"/>
      <c r="I437" s="6"/>
    </row>
    <row r="438" ht="15.75" customHeight="1">
      <c r="G438" s="5"/>
      <c r="I438" s="6"/>
    </row>
    <row r="439" ht="15.75" customHeight="1">
      <c r="G439" s="5"/>
      <c r="I439" s="6"/>
    </row>
    <row r="440" ht="15.75" customHeight="1">
      <c r="G440" s="5"/>
      <c r="I440" s="6"/>
    </row>
    <row r="441" ht="15.75" customHeight="1">
      <c r="G441" s="5"/>
      <c r="I441" s="6"/>
    </row>
    <row r="442" ht="15.75" customHeight="1">
      <c r="G442" s="5"/>
      <c r="I442" s="6"/>
    </row>
    <row r="443" ht="15.75" customHeight="1">
      <c r="G443" s="5"/>
      <c r="I443" s="6"/>
    </row>
    <row r="444" ht="15.75" customHeight="1">
      <c r="G444" s="5"/>
      <c r="I444" s="6"/>
    </row>
    <row r="445" ht="15.75" customHeight="1">
      <c r="G445" s="5"/>
      <c r="I445" s="6"/>
    </row>
    <row r="446" ht="15.75" customHeight="1">
      <c r="G446" s="5"/>
      <c r="I446" s="6"/>
    </row>
    <row r="447" ht="15.75" customHeight="1">
      <c r="G447" s="5"/>
      <c r="I447" s="6"/>
    </row>
    <row r="448" ht="15.75" customHeight="1">
      <c r="G448" s="5"/>
      <c r="I448" s="6"/>
    </row>
    <row r="449" ht="15.75" customHeight="1">
      <c r="G449" s="5"/>
      <c r="I449" s="6"/>
    </row>
    <row r="450" ht="15.75" customHeight="1">
      <c r="G450" s="5"/>
      <c r="I450" s="6"/>
    </row>
    <row r="451" ht="15.75" customHeight="1">
      <c r="G451" s="5"/>
      <c r="I451" s="6"/>
    </row>
    <row r="452" ht="15.75" customHeight="1">
      <c r="G452" s="5"/>
      <c r="I452" s="6"/>
    </row>
    <row r="453" ht="15.75" customHeight="1">
      <c r="G453" s="5"/>
      <c r="I453" s="6"/>
    </row>
    <row r="454" ht="15.75" customHeight="1">
      <c r="G454" s="5"/>
      <c r="I454" s="6"/>
    </row>
    <row r="455" ht="15.75" customHeight="1">
      <c r="G455" s="5"/>
      <c r="I455" s="6"/>
    </row>
    <row r="456" ht="15.75" customHeight="1">
      <c r="G456" s="5"/>
      <c r="I456" s="6"/>
    </row>
    <row r="457" ht="15.75" customHeight="1">
      <c r="G457" s="5"/>
      <c r="I457" s="6"/>
    </row>
    <row r="458" ht="15.75" customHeight="1">
      <c r="G458" s="5"/>
      <c r="I458" s="6"/>
    </row>
    <row r="459" ht="15.75" customHeight="1">
      <c r="G459" s="5"/>
      <c r="I459" s="6"/>
    </row>
    <row r="460" ht="15.75" customHeight="1">
      <c r="G460" s="5"/>
      <c r="I460" s="6"/>
    </row>
    <row r="461" ht="15.75" customHeight="1">
      <c r="G461" s="5"/>
      <c r="I461" s="6"/>
    </row>
    <row r="462" ht="15.75" customHeight="1">
      <c r="G462" s="5"/>
      <c r="I462" s="6"/>
    </row>
    <row r="463" ht="15.75" customHeight="1">
      <c r="G463" s="5"/>
      <c r="I463" s="6"/>
    </row>
    <row r="464" ht="15.75" customHeight="1">
      <c r="G464" s="5"/>
      <c r="I464" s="6"/>
    </row>
    <row r="465" ht="15.75" customHeight="1">
      <c r="G465" s="5"/>
      <c r="I465" s="6"/>
    </row>
    <row r="466" ht="15.75" customHeight="1">
      <c r="G466" s="5"/>
      <c r="I466" s="6"/>
    </row>
    <row r="467" ht="15.75" customHeight="1">
      <c r="G467" s="5"/>
      <c r="I467" s="6"/>
    </row>
    <row r="468" ht="15.75" customHeight="1">
      <c r="G468" s="5"/>
      <c r="I468" s="6"/>
    </row>
    <row r="469" ht="15.75" customHeight="1">
      <c r="G469" s="5"/>
      <c r="I469" s="6"/>
    </row>
    <row r="470" ht="15.75" customHeight="1">
      <c r="G470" s="5"/>
      <c r="I470" s="6"/>
    </row>
    <row r="471" ht="15.75" customHeight="1">
      <c r="G471" s="5"/>
      <c r="I471" s="6"/>
    </row>
    <row r="472" ht="15.75" customHeight="1">
      <c r="G472" s="5"/>
      <c r="I472" s="6"/>
    </row>
    <row r="473" ht="15.75" customHeight="1">
      <c r="G473" s="5"/>
      <c r="I473" s="6"/>
    </row>
    <row r="474" ht="15.75" customHeight="1">
      <c r="G474" s="5"/>
      <c r="I474" s="6"/>
    </row>
    <row r="475" ht="15.75" customHeight="1">
      <c r="G475" s="5"/>
      <c r="I475" s="6"/>
    </row>
    <row r="476" ht="15.75" customHeight="1">
      <c r="G476" s="5"/>
      <c r="I476" s="6"/>
    </row>
    <row r="477" ht="15.75" customHeight="1">
      <c r="G477" s="5"/>
      <c r="I477" s="6"/>
    </row>
    <row r="478" ht="15.75" customHeight="1">
      <c r="G478" s="5"/>
      <c r="I478" s="6"/>
    </row>
    <row r="479" ht="15.75" customHeight="1">
      <c r="G479" s="5"/>
      <c r="I479" s="6"/>
    </row>
    <row r="480" ht="15.75" customHeight="1">
      <c r="G480" s="5"/>
      <c r="I480" s="6"/>
    </row>
    <row r="481" ht="15.75" customHeight="1">
      <c r="G481" s="5"/>
      <c r="I481" s="6"/>
    </row>
    <row r="482" ht="15.75" customHeight="1">
      <c r="G482" s="5"/>
      <c r="I482" s="6"/>
    </row>
    <row r="483" ht="15.75" customHeight="1">
      <c r="G483" s="5"/>
      <c r="I483" s="6"/>
    </row>
    <row r="484" ht="15.75" customHeight="1">
      <c r="G484" s="5"/>
      <c r="I484" s="6"/>
    </row>
    <row r="485" ht="15.75" customHeight="1">
      <c r="G485" s="5"/>
      <c r="I485" s="6"/>
    </row>
    <row r="486" ht="15.75" customHeight="1">
      <c r="G486" s="5"/>
      <c r="I486" s="6"/>
    </row>
    <row r="487" ht="15.75" customHeight="1">
      <c r="G487" s="5"/>
      <c r="I487" s="6"/>
    </row>
    <row r="488" ht="15.75" customHeight="1">
      <c r="G488" s="5"/>
      <c r="I488" s="6"/>
    </row>
    <row r="489" ht="15.75" customHeight="1">
      <c r="G489" s="5"/>
      <c r="I489" s="6"/>
    </row>
    <row r="490" ht="15.75" customHeight="1">
      <c r="G490" s="5"/>
      <c r="I490" s="6"/>
    </row>
    <row r="491" ht="15.75" customHeight="1">
      <c r="G491" s="5"/>
      <c r="I491" s="6"/>
    </row>
    <row r="492" ht="15.75" customHeight="1">
      <c r="G492" s="5"/>
      <c r="I492" s="6"/>
    </row>
    <row r="493" ht="15.75" customHeight="1">
      <c r="G493" s="5"/>
      <c r="I493" s="6"/>
    </row>
    <row r="494" ht="15.75" customHeight="1">
      <c r="G494" s="5"/>
      <c r="I494" s="6"/>
    </row>
    <row r="495" ht="15.75" customHeight="1">
      <c r="G495" s="5"/>
      <c r="I495" s="6"/>
    </row>
    <row r="496" ht="15.75" customHeight="1">
      <c r="G496" s="5"/>
      <c r="I496" s="6"/>
    </row>
    <row r="497" ht="15.75" customHeight="1">
      <c r="G497" s="5"/>
      <c r="I497" s="6"/>
    </row>
    <row r="498" ht="15.75" customHeight="1">
      <c r="G498" s="5"/>
      <c r="I498" s="6"/>
    </row>
    <row r="499" ht="15.75" customHeight="1">
      <c r="G499" s="5"/>
      <c r="I499" s="6"/>
    </row>
    <row r="500" ht="15.75" customHeight="1">
      <c r="G500" s="5"/>
      <c r="I500" s="6"/>
    </row>
    <row r="501" ht="15.75" customHeight="1">
      <c r="G501" s="5"/>
      <c r="I501" s="6"/>
    </row>
    <row r="502" ht="15.75" customHeight="1">
      <c r="G502" s="5"/>
      <c r="I502" s="6"/>
    </row>
    <row r="503" ht="15.75" customHeight="1">
      <c r="G503" s="5"/>
      <c r="I503" s="6"/>
    </row>
    <row r="504" ht="15.75" customHeight="1">
      <c r="G504" s="5"/>
      <c r="I504" s="6"/>
    </row>
    <row r="505" ht="15.75" customHeight="1">
      <c r="G505" s="5"/>
      <c r="I505" s="6"/>
    </row>
    <row r="506" ht="15.75" customHeight="1">
      <c r="G506" s="5"/>
      <c r="I506" s="6"/>
    </row>
    <row r="507" ht="15.75" customHeight="1">
      <c r="G507" s="5"/>
      <c r="I507" s="6"/>
    </row>
    <row r="508" ht="15.75" customHeight="1">
      <c r="G508" s="5"/>
      <c r="I508" s="6"/>
    </row>
    <row r="509" ht="15.75" customHeight="1">
      <c r="G509" s="5"/>
      <c r="I509" s="6"/>
    </row>
    <row r="510" ht="15.75" customHeight="1">
      <c r="G510" s="5"/>
      <c r="I510" s="6"/>
    </row>
    <row r="511" ht="15.75" customHeight="1">
      <c r="G511" s="5"/>
      <c r="I511" s="6"/>
    </row>
    <row r="512" ht="15.75" customHeight="1">
      <c r="G512" s="5"/>
      <c r="I512" s="6"/>
    </row>
    <row r="513" ht="15.75" customHeight="1">
      <c r="G513" s="5"/>
      <c r="I513" s="6"/>
    </row>
    <row r="514" ht="15.75" customHeight="1">
      <c r="G514" s="5"/>
      <c r="I514" s="6"/>
    </row>
    <row r="515" ht="15.75" customHeight="1">
      <c r="G515" s="5"/>
      <c r="I515" s="6"/>
    </row>
    <row r="516" ht="15.75" customHeight="1">
      <c r="G516" s="5"/>
      <c r="I516" s="6"/>
    </row>
    <row r="517" ht="15.75" customHeight="1">
      <c r="G517" s="5"/>
      <c r="I517" s="6"/>
    </row>
    <row r="518" ht="15.75" customHeight="1">
      <c r="G518" s="5"/>
      <c r="I518" s="6"/>
    </row>
    <row r="519" ht="15.75" customHeight="1">
      <c r="G519" s="5"/>
      <c r="I519" s="6"/>
    </row>
    <row r="520" ht="15.75" customHeight="1">
      <c r="G520" s="5"/>
      <c r="I520" s="6"/>
    </row>
    <row r="521" ht="15.75" customHeight="1">
      <c r="G521" s="5"/>
      <c r="I521" s="6"/>
    </row>
    <row r="522" ht="15.75" customHeight="1">
      <c r="G522" s="5"/>
      <c r="I522" s="6"/>
    </row>
    <row r="523" ht="15.75" customHeight="1">
      <c r="G523" s="5"/>
      <c r="I523" s="6"/>
    </row>
    <row r="524" ht="15.75" customHeight="1">
      <c r="G524" s="5"/>
      <c r="I524" s="6"/>
    </row>
    <row r="525" ht="15.75" customHeight="1">
      <c r="G525" s="5"/>
      <c r="I525" s="6"/>
    </row>
    <row r="526" ht="15.75" customHeight="1">
      <c r="G526" s="5"/>
      <c r="I526" s="6"/>
    </row>
    <row r="527" ht="15.75" customHeight="1">
      <c r="G527" s="5"/>
      <c r="I527" s="6"/>
    </row>
    <row r="528" ht="15.75" customHeight="1">
      <c r="G528" s="5"/>
      <c r="I528" s="6"/>
    </row>
    <row r="529" ht="15.75" customHeight="1">
      <c r="G529" s="5"/>
      <c r="I529" s="6"/>
    </row>
    <row r="530" ht="15.75" customHeight="1">
      <c r="G530" s="5"/>
      <c r="I530" s="6"/>
    </row>
    <row r="531" ht="15.75" customHeight="1">
      <c r="G531" s="5"/>
      <c r="I531" s="6"/>
    </row>
    <row r="532" ht="15.75" customHeight="1">
      <c r="G532" s="5"/>
      <c r="I532" s="6"/>
    </row>
    <row r="533" ht="15.75" customHeight="1">
      <c r="G533" s="5"/>
      <c r="I533" s="6"/>
    </row>
    <row r="534" ht="15.75" customHeight="1">
      <c r="G534" s="5"/>
      <c r="I534" s="6"/>
    </row>
    <row r="535" ht="15.75" customHeight="1">
      <c r="G535" s="5"/>
      <c r="I535" s="6"/>
    </row>
    <row r="536" ht="15.75" customHeight="1">
      <c r="G536" s="5"/>
      <c r="I536" s="6"/>
    </row>
    <row r="537" ht="15.75" customHeight="1">
      <c r="G537" s="5"/>
      <c r="I537" s="6"/>
    </row>
    <row r="538" ht="15.75" customHeight="1">
      <c r="G538" s="5"/>
      <c r="I538" s="6"/>
    </row>
    <row r="539" ht="15.75" customHeight="1">
      <c r="G539" s="5"/>
      <c r="I539" s="6"/>
    </row>
    <row r="540" ht="15.75" customHeight="1">
      <c r="G540" s="5"/>
      <c r="I540" s="6"/>
    </row>
    <row r="541" ht="15.75" customHeight="1">
      <c r="G541" s="5"/>
      <c r="I541" s="6"/>
    </row>
    <row r="542" ht="15.75" customHeight="1">
      <c r="G542" s="5"/>
      <c r="I542" s="6"/>
    </row>
    <row r="543" ht="15.75" customHeight="1">
      <c r="G543" s="5"/>
      <c r="I543" s="6"/>
    </row>
    <row r="544" ht="15.75" customHeight="1">
      <c r="G544" s="5"/>
      <c r="I544" s="6"/>
    </row>
    <row r="545" ht="15.75" customHeight="1">
      <c r="G545" s="5"/>
      <c r="I545" s="6"/>
    </row>
    <row r="546" ht="15.75" customHeight="1">
      <c r="G546" s="5"/>
      <c r="I546" s="6"/>
    </row>
    <row r="547" ht="15.75" customHeight="1">
      <c r="G547" s="5"/>
      <c r="I547" s="6"/>
    </row>
    <row r="548" ht="15.75" customHeight="1">
      <c r="G548" s="5"/>
      <c r="I548" s="6"/>
    </row>
    <row r="549" ht="15.75" customHeight="1">
      <c r="G549" s="5"/>
      <c r="I549" s="6"/>
    </row>
    <row r="550" ht="15.75" customHeight="1">
      <c r="G550" s="5"/>
      <c r="I550" s="6"/>
    </row>
    <row r="551" ht="15.75" customHeight="1">
      <c r="G551" s="5"/>
      <c r="I551" s="6"/>
    </row>
    <row r="552" ht="15.75" customHeight="1">
      <c r="G552" s="5"/>
      <c r="I552" s="6"/>
    </row>
    <row r="553" ht="15.75" customHeight="1">
      <c r="G553" s="5"/>
      <c r="I553" s="6"/>
    </row>
    <row r="554" ht="15.75" customHeight="1">
      <c r="G554" s="5"/>
      <c r="I554" s="6"/>
    </row>
    <row r="555" ht="15.75" customHeight="1">
      <c r="G555" s="5"/>
      <c r="I555" s="6"/>
    </row>
    <row r="556" ht="15.75" customHeight="1">
      <c r="G556" s="5"/>
      <c r="I556" s="6"/>
    </row>
    <row r="557" ht="15.75" customHeight="1">
      <c r="G557" s="5"/>
      <c r="I557" s="6"/>
    </row>
    <row r="558" ht="15.75" customHeight="1">
      <c r="G558" s="5"/>
      <c r="I558" s="6"/>
    </row>
    <row r="559" ht="15.75" customHeight="1">
      <c r="G559" s="5"/>
      <c r="I559" s="6"/>
    </row>
    <row r="560" ht="15.75" customHeight="1">
      <c r="G560" s="5"/>
      <c r="I560" s="6"/>
    </row>
    <row r="561" ht="15.75" customHeight="1">
      <c r="G561" s="5"/>
      <c r="I561" s="6"/>
    </row>
    <row r="562" ht="15.75" customHeight="1">
      <c r="G562" s="5"/>
      <c r="I562" s="6"/>
    </row>
    <row r="563" ht="15.75" customHeight="1">
      <c r="G563" s="5"/>
      <c r="I563" s="6"/>
    </row>
    <row r="564" ht="15.75" customHeight="1">
      <c r="G564" s="5"/>
      <c r="I564" s="6"/>
    </row>
    <row r="565" ht="15.75" customHeight="1">
      <c r="G565" s="5"/>
      <c r="I565" s="6"/>
    </row>
    <row r="566" ht="15.75" customHeight="1">
      <c r="G566" s="5"/>
      <c r="I566" s="6"/>
    </row>
    <row r="567" ht="15.75" customHeight="1">
      <c r="G567" s="5"/>
      <c r="I567" s="6"/>
    </row>
    <row r="568" ht="15.75" customHeight="1">
      <c r="G568" s="5"/>
      <c r="I568" s="6"/>
    </row>
    <row r="569" ht="15.75" customHeight="1">
      <c r="G569" s="5"/>
      <c r="I569" s="6"/>
    </row>
    <row r="570" ht="15.75" customHeight="1">
      <c r="G570" s="5"/>
      <c r="I570" s="6"/>
    </row>
    <row r="571" ht="15.75" customHeight="1">
      <c r="G571" s="5"/>
      <c r="I571" s="6"/>
    </row>
    <row r="572" ht="15.75" customHeight="1">
      <c r="G572" s="5"/>
      <c r="I572" s="6"/>
    </row>
    <row r="573" ht="15.75" customHeight="1">
      <c r="G573" s="5"/>
      <c r="I573" s="6"/>
    </row>
    <row r="574" ht="15.75" customHeight="1">
      <c r="G574" s="5"/>
      <c r="I574" s="6"/>
    </row>
    <row r="575" ht="15.75" customHeight="1">
      <c r="G575" s="5"/>
      <c r="I575" s="6"/>
    </row>
    <row r="576" ht="15.75" customHeight="1">
      <c r="G576" s="5"/>
      <c r="I576" s="6"/>
    </row>
    <row r="577" ht="15.75" customHeight="1">
      <c r="G577" s="5"/>
      <c r="I577" s="6"/>
    </row>
    <row r="578" ht="15.75" customHeight="1">
      <c r="G578" s="5"/>
      <c r="I578" s="6"/>
    </row>
    <row r="579" ht="15.75" customHeight="1">
      <c r="G579" s="5"/>
      <c r="I579" s="6"/>
    </row>
    <row r="580" ht="15.75" customHeight="1">
      <c r="G580" s="5"/>
      <c r="I580" s="6"/>
    </row>
    <row r="581" ht="15.75" customHeight="1">
      <c r="G581" s="5"/>
      <c r="I581" s="6"/>
    </row>
    <row r="582" ht="15.75" customHeight="1">
      <c r="G582" s="5"/>
      <c r="I582" s="6"/>
    </row>
    <row r="583" ht="15.75" customHeight="1">
      <c r="G583" s="5"/>
      <c r="I583" s="6"/>
    </row>
    <row r="584" ht="15.75" customHeight="1">
      <c r="G584" s="5"/>
      <c r="I584" s="6"/>
    </row>
    <row r="585" ht="15.75" customHeight="1">
      <c r="G585" s="5"/>
      <c r="I585" s="6"/>
    </row>
    <row r="586" ht="15.75" customHeight="1">
      <c r="G586" s="5"/>
      <c r="I586" s="6"/>
    </row>
    <row r="587" ht="15.75" customHeight="1">
      <c r="G587" s="5"/>
      <c r="I587" s="6"/>
    </row>
    <row r="588" ht="15.75" customHeight="1">
      <c r="G588" s="5"/>
      <c r="I588" s="6"/>
    </row>
    <row r="589" ht="15.75" customHeight="1">
      <c r="G589" s="5"/>
      <c r="I589" s="6"/>
    </row>
    <row r="590" ht="15.75" customHeight="1">
      <c r="G590" s="5"/>
      <c r="I590" s="6"/>
    </row>
    <row r="591" ht="15.75" customHeight="1">
      <c r="G591" s="5"/>
      <c r="I591" s="6"/>
    </row>
    <row r="592" ht="15.75" customHeight="1">
      <c r="G592" s="5"/>
      <c r="I592" s="6"/>
    </row>
    <row r="593" ht="15.75" customHeight="1">
      <c r="G593" s="5"/>
      <c r="I593" s="6"/>
    </row>
    <row r="594" ht="15.75" customHeight="1">
      <c r="G594" s="5"/>
      <c r="I594" s="6"/>
    </row>
    <row r="595" ht="15.75" customHeight="1">
      <c r="G595" s="5"/>
      <c r="I595" s="6"/>
    </row>
    <row r="596" ht="15.75" customHeight="1">
      <c r="G596" s="5"/>
      <c r="I596" s="6"/>
    </row>
    <row r="597" ht="15.75" customHeight="1">
      <c r="G597" s="5"/>
      <c r="I597" s="6"/>
    </row>
    <row r="598" ht="15.75" customHeight="1">
      <c r="G598" s="5"/>
      <c r="I598" s="6"/>
    </row>
    <row r="599" ht="15.75" customHeight="1">
      <c r="G599" s="5"/>
      <c r="I599" s="6"/>
    </row>
    <row r="600" ht="15.75" customHeight="1">
      <c r="G600" s="5"/>
      <c r="I600" s="6"/>
    </row>
    <row r="601" ht="15.75" customHeight="1">
      <c r="G601" s="5"/>
      <c r="I601" s="6"/>
    </row>
    <row r="602" ht="15.75" customHeight="1">
      <c r="G602" s="5"/>
      <c r="I602" s="6"/>
    </row>
    <row r="603" ht="15.75" customHeight="1">
      <c r="G603" s="5"/>
      <c r="I603" s="6"/>
    </row>
    <row r="604" ht="15.75" customHeight="1">
      <c r="G604" s="5"/>
      <c r="I604" s="6"/>
    </row>
    <row r="605" ht="15.75" customHeight="1">
      <c r="G605" s="5"/>
      <c r="I605" s="6"/>
    </row>
    <row r="606" ht="15.75" customHeight="1">
      <c r="G606" s="5"/>
      <c r="I606" s="6"/>
    </row>
    <row r="607" ht="15.75" customHeight="1">
      <c r="G607" s="5"/>
      <c r="I607" s="6"/>
    </row>
    <row r="608" ht="15.75" customHeight="1">
      <c r="G608" s="5"/>
      <c r="I608" s="6"/>
    </row>
    <row r="609" ht="15.75" customHeight="1">
      <c r="G609" s="5"/>
      <c r="I609" s="6"/>
    </row>
    <row r="610" ht="15.75" customHeight="1">
      <c r="G610" s="5"/>
      <c r="I610" s="6"/>
    </row>
    <row r="611" ht="15.75" customHeight="1">
      <c r="G611" s="5"/>
      <c r="I611" s="6"/>
    </row>
    <row r="612" ht="15.75" customHeight="1">
      <c r="G612" s="5"/>
      <c r="I612" s="6"/>
    </row>
    <row r="613" ht="15.75" customHeight="1">
      <c r="G613" s="5"/>
      <c r="I613" s="6"/>
    </row>
    <row r="614" ht="15.75" customHeight="1">
      <c r="G614" s="5"/>
      <c r="I614" s="6"/>
    </row>
    <row r="615" ht="15.75" customHeight="1">
      <c r="G615" s="5"/>
      <c r="I615" s="6"/>
    </row>
    <row r="616" ht="15.75" customHeight="1">
      <c r="G616" s="5"/>
      <c r="I616" s="6"/>
    </row>
    <row r="617" ht="15.75" customHeight="1">
      <c r="G617" s="5"/>
      <c r="I617" s="6"/>
    </row>
    <row r="618" ht="15.75" customHeight="1">
      <c r="G618" s="5"/>
      <c r="I618" s="6"/>
    </row>
    <row r="619" ht="15.75" customHeight="1">
      <c r="G619" s="5"/>
      <c r="I619" s="6"/>
    </row>
    <row r="620" ht="15.75" customHeight="1">
      <c r="G620" s="5"/>
      <c r="I620" s="6"/>
    </row>
    <row r="621" ht="15.75" customHeight="1">
      <c r="G621" s="5"/>
      <c r="I621" s="6"/>
    </row>
    <row r="622" ht="15.75" customHeight="1">
      <c r="G622" s="5"/>
      <c r="I622" s="6"/>
    </row>
    <row r="623" ht="15.75" customHeight="1">
      <c r="G623" s="5"/>
      <c r="I623" s="6"/>
    </row>
    <row r="624" ht="15.75" customHeight="1">
      <c r="G624" s="5"/>
      <c r="I624" s="6"/>
    </row>
    <row r="625" ht="15.75" customHeight="1">
      <c r="G625" s="5"/>
      <c r="I625" s="6"/>
    </row>
    <row r="626" ht="15.75" customHeight="1">
      <c r="G626" s="5"/>
      <c r="I626" s="6"/>
    </row>
    <row r="627" ht="15.75" customHeight="1">
      <c r="G627" s="5"/>
      <c r="I627" s="6"/>
    </row>
    <row r="628" ht="15.75" customHeight="1">
      <c r="G628" s="5"/>
      <c r="I628" s="6"/>
    </row>
    <row r="629" ht="15.75" customHeight="1">
      <c r="G629" s="5"/>
      <c r="I629" s="6"/>
    </row>
    <row r="630" ht="15.75" customHeight="1">
      <c r="G630" s="5"/>
      <c r="I630" s="6"/>
    </row>
    <row r="631" ht="15.75" customHeight="1">
      <c r="G631" s="5"/>
      <c r="I631" s="6"/>
    </row>
    <row r="632" ht="15.75" customHeight="1">
      <c r="G632" s="5"/>
      <c r="I632" s="6"/>
    </row>
    <row r="633" ht="15.75" customHeight="1">
      <c r="G633" s="5"/>
      <c r="I633" s="6"/>
    </row>
    <row r="634" ht="15.75" customHeight="1">
      <c r="G634" s="5"/>
      <c r="I634" s="6"/>
    </row>
    <row r="635" ht="15.75" customHeight="1">
      <c r="G635" s="5"/>
      <c r="I635" s="6"/>
    </row>
    <row r="636" ht="15.75" customHeight="1">
      <c r="G636" s="5"/>
      <c r="I636" s="6"/>
    </row>
    <row r="637" ht="15.75" customHeight="1">
      <c r="G637" s="5"/>
      <c r="I637" s="6"/>
    </row>
    <row r="638" ht="15.75" customHeight="1">
      <c r="G638" s="5"/>
      <c r="I638" s="6"/>
    </row>
    <row r="639" ht="15.75" customHeight="1">
      <c r="G639" s="5"/>
      <c r="I639" s="6"/>
    </row>
    <row r="640" ht="15.75" customHeight="1">
      <c r="G640" s="5"/>
      <c r="I640" s="6"/>
    </row>
    <row r="641" ht="15.75" customHeight="1">
      <c r="G641" s="5"/>
      <c r="I641" s="6"/>
    </row>
    <row r="642" ht="15.75" customHeight="1">
      <c r="G642" s="5"/>
      <c r="I642" s="6"/>
    </row>
    <row r="643" ht="15.75" customHeight="1">
      <c r="G643" s="5"/>
      <c r="I643" s="6"/>
    </row>
    <row r="644" ht="15.75" customHeight="1">
      <c r="G644" s="5"/>
      <c r="I644" s="6"/>
    </row>
    <row r="645" ht="15.75" customHeight="1">
      <c r="G645" s="5"/>
      <c r="I645" s="6"/>
    </row>
    <row r="646" ht="15.75" customHeight="1">
      <c r="G646" s="5"/>
      <c r="I646" s="6"/>
    </row>
    <row r="647" ht="15.75" customHeight="1">
      <c r="G647" s="5"/>
      <c r="I647" s="6"/>
    </row>
    <row r="648" ht="15.75" customHeight="1">
      <c r="G648" s="5"/>
      <c r="I648" s="6"/>
    </row>
    <row r="649" ht="15.75" customHeight="1">
      <c r="G649" s="5"/>
      <c r="I649" s="6"/>
    </row>
    <row r="650" ht="15.75" customHeight="1">
      <c r="G650" s="5"/>
      <c r="I650" s="6"/>
    </row>
    <row r="651" ht="15.75" customHeight="1">
      <c r="G651" s="5"/>
      <c r="I651" s="6"/>
    </row>
    <row r="652" ht="15.75" customHeight="1">
      <c r="G652" s="5"/>
      <c r="I652" s="6"/>
    </row>
    <row r="653" ht="15.75" customHeight="1">
      <c r="G653" s="5"/>
      <c r="I653" s="6"/>
    </row>
    <row r="654" ht="15.75" customHeight="1">
      <c r="G654" s="5"/>
      <c r="I654" s="6"/>
    </row>
    <row r="655" ht="15.75" customHeight="1">
      <c r="G655" s="5"/>
      <c r="I655" s="6"/>
    </row>
    <row r="656" ht="15.75" customHeight="1">
      <c r="G656" s="5"/>
      <c r="I656" s="6"/>
    </row>
    <row r="657" ht="15.75" customHeight="1">
      <c r="G657" s="5"/>
      <c r="I657" s="6"/>
    </row>
    <row r="658" ht="15.75" customHeight="1">
      <c r="G658" s="5"/>
      <c r="I658" s="6"/>
    </row>
    <row r="659" ht="15.75" customHeight="1">
      <c r="G659" s="5"/>
      <c r="I659" s="6"/>
    </row>
    <row r="660" ht="15.75" customHeight="1">
      <c r="G660" s="5"/>
      <c r="I660" s="6"/>
    </row>
    <row r="661" ht="15.75" customHeight="1">
      <c r="G661" s="5"/>
      <c r="I661" s="6"/>
    </row>
    <row r="662" ht="15.75" customHeight="1">
      <c r="G662" s="5"/>
      <c r="I662" s="6"/>
    </row>
    <row r="663" ht="15.75" customHeight="1">
      <c r="G663" s="5"/>
      <c r="I663" s="6"/>
    </row>
    <row r="664" ht="15.75" customHeight="1">
      <c r="G664" s="5"/>
      <c r="I664" s="6"/>
    </row>
    <row r="665" ht="15.75" customHeight="1">
      <c r="G665" s="5"/>
      <c r="I665" s="6"/>
    </row>
    <row r="666" ht="15.75" customHeight="1">
      <c r="G666" s="5"/>
      <c r="I666" s="6"/>
    </row>
    <row r="667" ht="15.75" customHeight="1">
      <c r="G667" s="5"/>
      <c r="I667" s="6"/>
    </row>
    <row r="668" ht="15.75" customHeight="1">
      <c r="G668" s="5"/>
      <c r="I668" s="6"/>
    </row>
    <row r="669" ht="15.75" customHeight="1">
      <c r="G669" s="5"/>
      <c r="I669" s="6"/>
    </row>
    <row r="670" ht="15.75" customHeight="1">
      <c r="G670" s="5"/>
      <c r="I670" s="6"/>
    </row>
    <row r="671" ht="15.75" customHeight="1">
      <c r="G671" s="5"/>
      <c r="I671" s="6"/>
    </row>
    <row r="672" ht="15.75" customHeight="1">
      <c r="G672" s="5"/>
      <c r="I672" s="6"/>
    </row>
    <row r="673" ht="15.75" customHeight="1">
      <c r="G673" s="5"/>
      <c r="I673" s="6"/>
    </row>
    <row r="674" ht="15.75" customHeight="1">
      <c r="G674" s="5"/>
      <c r="I674" s="6"/>
    </row>
    <row r="675" ht="15.75" customHeight="1">
      <c r="G675" s="5"/>
      <c r="I675" s="6"/>
    </row>
    <row r="676" ht="15.75" customHeight="1">
      <c r="G676" s="5"/>
      <c r="I676" s="6"/>
    </row>
    <row r="677" ht="15.75" customHeight="1">
      <c r="G677" s="5"/>
      <c r="I677" s="6"/>
    </row>
    <row r="678" ht="15.75" customHeight="1">
      <c r="G678" s="5"/>
      <c r="I678" s="6"/>
    </row>
    <row r="679" ht="15.75" customHeight="1">
      <c r="G679" s="5"/>
      <c r="I679" s="6"/>
    </row>
    <row r="680" ht="15.75" customHeight="1">
      <c r="G680" s="5"/>
      <c r="I680" s="6"/>
    </row>
    <row r="681" ht="15.75" customHeight="1">
      <c r="G681" s="5"/>
      <c r="I681" s="6"/>
    </row>
    <row r="682" ht="15.75" customHeight="1">
      <c r="G682" s="5"/>
      <c r="I682" s="6"/>
    </row>
    <row r="683" ht="15.75" customHeight="1">
      <c r="G683" s="5"/>
      <c r="I683" s="6"/>
    </row>
    <row r="684" ht="15.75" customHeight="1">
      <c r="G684" s="5"/>
      <c r="I684" s="6"/>
    </row>
    <row r="685" ht="15.75" customHeight="1">
      <c r="G685" s="5"/>
      <c r="I685" s="6"/>
    </row>
    <row r="686" ht="15.75" customHeight="1">
      <c r="G686" s="5"/>
      <c r="I686" s="6"/>
    </row>
    <row r="687" ht="15.75" customHeight="1">
      <c r="G687" s="5"/>
      <c r="I687" s="6"/>
    </row>
    <row r="688" ht="15.75" customHeight="1">
      <c r="G688" s="5"/>
      <c r="I688" s="6"/>
    </row>
    <row r="689" ht="15.75" customHeight="1">
      <c r="G689" s="5"/>
      <c r="I689" s="6"/>
    </row>
    <row r="690" ht="15.75" customHeight="1">
      <c r="G690" s="5"/>
      <c r="I690" s="6"/>
    </row>
    <row r="691" ht="15.75" customHeight="1">
      <c r="G691" s="5"/>
      <c r="I691" s="6"/>
    </row>
    <row r="692" ht="15.75" customHeight="1">
      <c r="G692" s="5"/>
      <c r="I692" s="6"/>
    </row>
    <row r="693" ht="15.75" customHeight="1">
      <c r="G693" s="5"/>
      <c r="I693" s="6"/>
    </row>
    <row r="694" ht="15.75" customHeight="1">
      <c r="G694" s="5"/>
      <c r="I694" s="6"/>
    </row>
    <row r="695" ht="15.75" customHeight="1">
      <c r="G695" s="5"/>
      <c r="I695" s="6"/>
    </row>
    <row r="696" ht="15.75" customHeight="1">
      <c r="G696" s="5"/>
      <c r="I696" s="6"/>
    </row>
    <row r="697" ht="15.75" customHeight="1">
      <c r="G697" s="5"/>
      <c r="I697" s="6"/>
    </row>
    <row r="698" ht="15.75" customHeight="1">
      <c r="G698" s="5"/>
      <c r="I698" s="6"/>
    </row>
    <row r="699" ht="15.75" customHeight="1">
      <c r="G699" s="5"/>
      <c r="I699" s="6"/>
    </row>
    <row r="700" ht="15.75" customHeight="1">
      <c r="G700" s="5"/>
      <c r="I700" s="6"/>
    </row>
    <row r="701" ht="15.75" customHeight="1">
      <c r="G701" s="5"/>
      <c r="I701" s="6"/>
    </row>
    <row r="702" ht="15.75" customHeight="1">
      <c r="G702" s="5"/>
      <c r="I702" s="6"/>
    </row>
    <row r="703" ht="15.75" customHeight="1">
      <c r="G703" s="5"/>
      <c r="I703" s="6"/>
    </row>
    <row r="704" ht="15.75" customHeight="1">
      <c r="G704" s="5"/>
      <c r="I704" s="6"/>
    </row>
    <row r="705" ht="15.75" customHeight="1">
      <c r="G705" s="5"/>
      <c r="I705" s="6"/>
    </row>
    <row r="706" ht="15.75" customHeight="1">
      <c r="G706" s="5"/>
      <c r="I706" s="6"/>
    </row>
    <row r="707" ht="15.75" customHeight="1">
      <c r="G707" s="5"/>
      <c r="I707" s="6"/>
    </row>
    <row r="708" ht="15.75" customHeight="1">
      <c r="G708" s="5"/>
      <c r="I708" s="6"/>
    </row>
    <row r="709" ht="15.75" customHeight="1">
      <c r="G709" s="5"/>
      <c r="I709" s="6"/>
    </row>
    <row r="710" ht="15.75" customHeight="1">
      <c r="G710" s="5"/>
      <c r="I710" s="6"/>
    </row>
    <row r="711" ht="15.75" customHeight="1">
      <c r="G711" s="5"/>
      <c r="I711" s="6"/>
    </row>
    <row r="712" ht="15.75" customHeight="1">
      <c r="G712" s="5"/>
      <c r="I712" s="6"/>
    </row>
    <row r="713" ht="15.75" customHeight="1">
      <c r="G713" s="5"/>
      <c r="I713" s="6"/>
    </row>
    <row r="714" ht="15.75" customHeight="1">
      <c r="G714" s="5"/>
      <c r="I714" s="6"/>
    </row>
    <row r="715" ht="15.75" customHeight="1">
      <c r="G715" s="5"/>
      <c r="I715" s="6"/>
    </row>
    <row r="716" ht="15.75" customHeight="1">
      <c r="G716" s="5"/>
      <c r="I716" s="6"/>
    </row>
    <row r="717" ht="15.75" customHeight="1">
      <c r="G717" s="5"/>
      <c r="I717" s="6"/>
    </row>
    <row r="718" ht="15.75" customHeight="1">
      <c r="G718" s="5"/>
      <c r="I718" s="6"/>
    </row>
    <row r="719" ht="15.75" customHeight="1">
      <c r="G719" s="5"/>
      <c r="I719" s="6"/>
    </row>
    <row r="720" ht="15.75" customHeight="1">
      <c r="G720" s="5"/>
      <c r="I720" s="6"/>
    </row>
    <row r="721" ht="15.75" customHeight="1">
      <c r="G721" s="5"/>
      <c r="I721" s="6"/>
    </row>
    <row r="722" ht="15.75" customHeight="1">
      <c r="G722" s="5"/>
      <c r="I722" s="6"/>
    </row>
    <row r="723" ht="15.75" customHeight="1">
      <c r="G723" s="5"/>
      <c r="I723" s="6"/>
    </row>
    <row r="724" ht="15.75" customHeight="1">
      <c r="G724" s="5"/>
      <c r="I724" s="6"/>
    </row>
    <row r="725" ht="15.75" customHeight="1">
      <c r="G725" s="5"/>
      <c r="I725" s="6"/>
    </row>
    <row r="726" ht="15.75" customHeight="1">
      <c r="G726" s="5"/>
      <c r="I726" s="6"/>
    </row>
    <row r="727" ht="15.75" customHeight="1">
      <c r="G727" s="5"/>
      <c r="I727" s="6"/>
    </row>
    <row r="728" ht="15.75" customHeight="1">
      <c r="G728" s="5"/>
      <c r="I728" s="6"/>
    </row>
    <row r="729" ht="15.75" customHeight="1">
      <c r="G729" s="5"/>
      <c r="I729" s="6"/>
    </row>
    <row r="730" ht="15.75" customHeight="1">
      <c r="G730" s="5"/>
      <c r="I730" s="6"/>
    </row>
    <row r="731" ht="15.75" customHeight="1">
      <c r="G731" s="5"/>
      <c r="I731" s="6"/>
    </row>
    <row r="732" ht="15.75" customHeight="1">
      <c r="G732" s="5"/>
      <c r="I732" s="6"/>
    </row>
    <row r="733" ht="15.75" customHeight="1">
      <c r="G733" s="5"/>
      <c r="I733" s="6"/>
    </row>
    <row r="734" ht="15.75" customHeight="1">
      <c r="G734" s="5"/>
      <c r="I734" s="6"/>
    </row>
    <row r="735" ht="15.75" customHeight="1">
      <c r="G735" s="5"/>
      <c r="I735" s="6"/>
    </row>
    <row r="736" ht="15.75" customHeight="1">
      <c r="G736" s="5"/>
      <c r="I736" s="6"/>
    </row>
    <row r="737" ht="15.75" customHeight="1">
      <c r="G737" s="5"/>
      <c r="I737" s="6"/>
    </row>
    <row r="738" ht="15.75" customHeight="1">
      <c r="G738" s="5"/>
      <c r="I738" s="6"/>
    </row>
    <row r="739" ht="15.75" customHeight="1">
      <c r="G739" s="5"/>
      <c r="I739" s="6"/>
    </row>
    <row r="740" ht="15.75" customHeight="1">
      <c r="G740" s="5"/>
      <c r="I740" s="6"/>
    </row>
    <row r="741" ht="15.75" customHeight="1">
      <c r="G741" s="5"/>
      <c r="I741" s="6"/>
    </row>
    <row r="742" ht="15.75" customHeight="1">
      <c r="G742" s="5"/>
      <c r="I742" s="6"/>
    </row>
    <row r="743" ht="15.75" customHeight="1">
      <c r="G743" s="5"/>
      <c r="I743" s="6"/>
    </row>
    <row r="744" ht="15.75" customHeight="1">
      <c r="G744" s="5"/>
      <c r="I744" s="6"/>
    </row>
    <row r="745" ht="15.75" customHeight="1">
      <c r="G745" s="5"/>
      <c r="I745" s="6"/>
    </row>
    <row r="746" ht="15.75" customHeight="1">
      <c r="G746" s="5"/>
      <c r="I746" s="6"/>
    </row>
    <row r="747" ht="15.75" customHeight="1">
      <c r="G747" s="5"/>
      <c r="I747" s="6"/>
    </row>
    <row r="748" ht="15.75" customHeight="1">
      <c r="G748" s="5"/>
      <c r="I748" s="6"/>
    </row>
    <row r="749" ht="15.75" customHeight="1">
      <c r="G749" s="5"/>
      <c r="I749" s="6"/>
    </row>
    <row r="750" ht="15.75" customHeight="1">
      <c r="G750" s="5"/>
      <c r="I750" s="6"/>
    </row>
    <row r="751" ht="15.75" customHeight="1">
      <c r="G751" s="5"/>
      <c r="I751" s="6"/>
    </row>
    <row r="752" ht="15.75" customHeight="1">
      <c r="G752" s="5"/>
      <c r="I752" s="6"/>
    </row>
    <row r="753" ht="15.75" customHeight="1">
      <c r="G753" s="5"/>
      <c r="I753" s="6"/>
    </row>
    <row r="754" ht="15.75" customHeight="1">
      <c r="G754" s="5"/>
      <c r="I754" s="6"/>
    </row>
    <row r="755" ht="15.75" customHeight="1">
      <c r="G755" s="5"/>
      <c r="I755" s="6"/>
    </row>
    <row r="756" ht="15.75" customHeight="1">
      <c r="G756" s="5"/>
      <c r="I756" s="6"/>
    </row>
    <row r="757" ht="15.75" customHeight="1">
      <c r="G757" s="5"/>
      <c r="I757" s="6"/>
    </row>
    <row r="758" ht="15.75" customHeight="1">
      <c r="G758" s="5"/>
      <c r="I758" s="6"/>
    </row>
    <row r="759" ht="15.75" customHeight="1">
      <c r="G759" s="5"/>
      <c r="I759" s="6"/>
    </row>
    <row r="760" ht="15.75" customHeight="1">
      <c r="G760" s="5"/>
      <c r="I760" s="6"/>
    </row>
    <row r="761" ht="15.75" customHeight="1">
      <c r="G761" s="5"/>
      <c r="I761" s="6"/>
    </row>
    <row r="762" ht="15.75" customHeight="1">
      <c r="G762" s="5"/>
      <c r="I762" s="6"/>
    </row>
    <row r="763" ht="15.75" customHeight="1">
      <c r="G763" s="5"/>
      <c r="I763" s="6"/>
    </row>
    <row r="764" ht="15.75" customHeight="1">
      <c r="G764" s="5"/>
      <c r="I764" s="6"/>
    </row>
    <row r="765" ht="15.75" customHeight="1">
      <c r="G765" s="5"/>
      <c r="I765" s="6"/>
    </row>
    <row r="766" ht="15.75" customHeight="1">
      <c r="G766" s="5"/>
      <c r="I766" s="6"/>
    </row>
    <row r="767" ht="15.75" customHeight="1">
      <c r="G767" s="5"/>
      <c r="I767" s="6"/>
    </row>
    <row r="768" ht="15.75" customHeight="1">
      <c r="G768" s="5"/>
      <c r="I768" s="6"/>
    </row>
    <row r="769" ht="15.75" customHeight="1">
      <c r="G769" s="5"/>
      <c r="I769" s="6"/>
    </row>
    <row r="770" ht="15.75" customHeight="1">
      <c r="G770" s="5"/>
      <c r="I770" s="6"/>
    </row>
    <row r="771" ht="15.75" customHeight="1">
      <c r="G771" s="5"/>
      <c r="I771" s="6"/>
    </row>
    <row r="772" ht="15.75" customHeight="1">
      <c r="G772" s="5"/>
      <c r="I772" s="6"/>
    </row>
    <row r="773" ht="15.75" customHeight="1">
      <c r="G773" s="5"/>
      <c r="I773" s="6"/>
    </row>
    <row r="774" ht="15.75" customHeight="1">
      <c r="G774" s="5"/>
      <c r="I774" s="6"/>
    </row>
    <row r="775" ht="15.75" customHeight="1">
      <c r="G775" s="5"/>
      <c r="I775" s="6"/>
    </row>
    <row r="776" ht="15.75" customHeight="1">
      <c r="G776" s="5"/>
      <c r="I776" s="6"/>
    </row>
    <row r="777" ht="15.75" customHeight="1">
      <c r="G777" s="5"/>
      <c r="I777" s="6"/>
    </row>
    <row r="778" ht="15.75" customHeight="1">
      <c r="G778" s="5"/>
      <c r="I778" s="6"/>
    </row>
    <row r="779" ht="15.75" customHeight="1">
      <c r="G779" s="5"/>
      <c r="I779" s="6"/>
    </row>
    <row r="780" ht="15.75" customHeight="1">
      <c r="G780" s="5"/>
      <c r="I780" s="6"/>
    </row>
    <row r="781" ht="15.75" customHeight="1">
      <c r="G781" s="5"/>
      <c r="I781" s="6"/>
    </row>
    <row r="782" ht="15.75" customHeight="1">
      <c r="G782" s="5"/>
      <c r="I782" s="6"/>
    </row>
    <row r="783" ht="15.75" customHeight="1">
      <c r="G783" s="5"/>
      <c r="I783" s="6"/>
    </row>
    <row r="784" ht="15.75" customHeight="1">
      <c r="G784" s="5"/>
      <c r="I784" s="6"/>
    </row>
    <row r="785" ht="15.75" customHeight="1">
      <c r="G785" s="5"/>
      <c r="I785" s="6"/>
    </row>
    <row r="786" ht="15.75" customHeight="1">
      <c r="G786" s="5"/>
      <c r="I786" s="6"/>
    </row>
    <row r="787" ht="15.75" customHeight="1">
      <c r="G787" s="5"/>
      <c r="I787" s="6"/>
    </row>
    <row r="788" ht="15.75" customHeight="1">
      <c r="G788" s="5"/>
      <c r="I788" s="6"/>
    </row>
    <row r="789" ht="15.75" customHeight="1">
      <c r="G789" s="5"/>
      <c r="I789" s="6"/>
    </row>
    <row r="790" ht="15.75" customHeight="1">
      <c r="G790" s="5"/>
      <c r="I790" s="6"/>
    </row>
    <row r="791" ht="15.75" customHeight="1">
      <c r="G791" s="5"/>
      <c r="I791" s="6"/>
    </row>
    <row r="792" ht="15.75" customHeight="1">
      <c r="G792" s="5"/>
      <c r="I792" s="6"/>
    </row>
    <row r="793" ht="15.75" customHeight="1">
      <c r="G793" s="5"/>
      <c r="I793" s="6"/>
    </row>
    <row r="794" ht="15.75" customHeight="1">
      <c r="G794" s="5"/>
      <c r="I794" s="6"/>
    </row>
    <row r="795" ht="15.75" customHeight="1">
      <c r="G795" s="5"/>
      <c r="I795" s="6"/>
    </row>
    <row r="796" ht="15.75" customHeight="1">
      <c r="G796" s="5"/>
      <c r="I796" s="6"/>
    </row>
    <row r="797" ht="15.75" customHeight="1">
      <c r="G797" s="5"/>
      <c r="I797" s="6"/>
    </row>
    <row r="798" ht="15.75" customHeight="1">
      <c r="G798" s="5"/>
      <c r="I798" s="6"/>
    </row>
    <row r="799" ht="15.75" customHeight="1">
      <c r="G799" s="5"/>
      <c r="I799" s="6"/>
    </row>
    <row r="800" ht="15.75" customHeight="1">
      <c r="G800" s="5"/>
      <c r="I800" s="6"/>
    </row>
    <row r="801" ht="15.75" customHeight="1">
      <c r="G801" s="5"/>
      <c r="I801" s="6"/>
    </row>
    <row r="802" ht="15.75" customHeight="1">
      <c r="G802" s="5"/>
      <c r="I802" s="6"/>
    </row>
    <row r="803" ht="15.75" customHeight="1">
      <c r="G803" s="5"/>
      <c r="I803" s="6"/>
    </row>
    <row r="804" ht="15.75" customHeight="1">
      <c r="G804" s="5"/>
      <c r="I804" s="6"/>
    </row>
    <row r="805" ht="15.75" customHeight="1">
      <c r="G805" s="5"/>
      <c r="I805" s="6"/>
    </row>
    <row r="806" ht="15.75" customHeight="1">
      <c r="G806" s="5"/>
      <c r="I806" s="6"/>
    </row>
    <row r="807" ht="15.75" customHeight="1">
      <c r="G807" s="5"/>
      <c r="I807" s="6"/>
    </row>
    <row r="808" ht="15.75" customHeight="1">
      <c r="G808" s="5"/>
      <c r="I808" s="6"/>
    </row>
    <row r="809" ht="15.75" customHeight="1">
      <c r="G809" s="5"/>
      <c r="I809" s="6"/>
    </row>
    <row r="810" ht="15.75" customHeight="1">
      <c r="G810" s="5"/>
      <c r="I810" s="6"/>
    </row>
    <row r="811" ht="15.75" customHeight="1">
      <c r="G811" s="5"/>
      <c r="I811" s="6"/>
    </row>
    <row r="812" ht="15.75" customHeight="1">
      <c r="G812" s="5"/>
      <c r="I812" s="6"/>
    </row>
    <row r="813" ht="15.75" customHeight="1">
      <c r="G813" s="5"/>
      <c r="I813" s="6"/>
    </row>
    <row r="814" ht="15.75" customHeight="1">
      <c r="G814" s="5"/>
      <c r="I814" s="6"/>
    </row>
    <row r="815" ht="15.75" customHeight="1">
      <c r="G815" s="5"/>
      <c r="I815" s="6"/>
    </row>
    <row r="816" ht="15.75" customHeight="1">
      <c r="G816" s="5"/>
      <c r="I816" s="6"/>
    </row>
    <row r="817" ht="15.75" customHeight="1">
      <c r="G817" s="5"/>
      <c r="I817" s="6"/>
    </row>
    <row r="818" ht="15.75" customHeight="1">
      <c r="G818" s="5"/>
      <c r="I818" s="6"/>
    </row>
    <row r="819" ht="15.75" customHeight="1">
      <c r="G819" s="5"/>
      <c r="I819" s="6"/>
    </row>
    <row r="820" ht="15.75" customHeight="1">
      <c r="G820" s="5"/>
      <c r="I820" s="6"/>
    </row>
    <row r="821" ht="15.75" customHeight="1">
      <c r="G821" s="5"/>
      <c r="I821" s="6"/>
    </row>
    <row r="822" ht="15.75" customHeight="1">
      <c r="G822" s="5"/>
      <c r="I822" s="6"/>
    </row>
    <row r="823" ht="15.75" customHeight="1">
      <c r="G823" s="5"/>
      <c r="I823" s="6"/>
    </row>
    <row r="824" ht="15.75" customHeight="1">
      <c r="G824" s="5"/>
      <c r="I824" s="6"/>
    </row>
    <row r="825" ht="15.75" customHeight="1">
      <c r="G825" s="5"/>
      <c r="I825" s="6"/>
    </row>
    <row r="826" ht="15.75" customHeight="1">
      <c r="G826" s="5"/>
      <c r="I826" s="6"/>
    </row>
    <row r="827" ht="15.75" customHeight="1">
      <c r="G827" s="5"/>
      <c r="I827" s="6"/>
    </row>
    <row r="828" ht="15.75" customHeight="1">
      <c r="G828" s="5"/>
      <c r="I828" s="6"/>
    </row>
    <row r="829" ht="15.75" customHeight="1">
      <c r="G829" s="5"/>
      <c r="I829" s="6"/>
    </row>
    <row r="830" ht="15.75" customHeight="1">
      <c r="G830" s="5"/>
      <c r="I830" s="6"/>
    </row>
    <row r="831" ht="15.75" customHeight="1">
      <c r="G831" s="5"/>
      <c r="I831" s="6"/>
    </row>
    <row r="832" ht="15.75" customHeight="1">
      <c r="G832" s="5"/>
      <c r="I832" s="6"/>
    </row>
    <row r="833" ht="15.75" customHeight="1">
      <c r="G833" s="5"/>
      <c r="I833" s="6"/>
    </row>
    <row r="834" ht="15.75" customHeight="1">
      <c r="G834" s="5"/>
      <c r="I834" s="6"/>
    </row>
    <row r="835" ht="15.75" customHeight="1">
      <c r="G835" s="5"/>
      <c r="I835" s="6"/>
    </row>
    <row r="836" ht="15.75" customHeight="1">
      <c r="G836" s="5"/>
      <c r="I836" s="6"/>
    </row>
    <row r="837" ht="15.75" customHeight="1">
      <c r="G837" s="5"/>
      <c r="I837" s="6"/>
    </row>
    <row r="838" ht="15.75" customHeight="1">
      <c r="G838" s="5"/>
      <c r="I838" s="6"/>
    </row>
    <row r="839" ht="15.75" customHeight="1">
      <c r="G839" s="5"/>
      <c r="I839" s="6"/>
    </row>
    <row r="840" ht="15.75" customHeight="1">
      <c r="G840" s="5"/>
      <c r="I840" s="6"/>
    </row>
    <row r="841" ht="15.75" customHeight="1">
      <c r="G841" s="5"/>
      <c r="I841" s="6"/>
    </row>
    <row r="842" ht="15.75" customHeight="1">
      <c r="G842" s="5"/>
      <c r="I842" s="6"/>
    </row>
    <row r="843" ht="15.75" customHeight="1">
      <c r="G843" s="5"/>
      <c r="I843" s="6"/>
    </row>
    <row r="844" ht="15.75" customHeight="1">
      <c r="G844" s="5"/>
      <c r="I844" s="6"/>
    </row>
    <row r="845" ht="15.75" customHeight="1">
      <c r="G845" s="5"/>
      <c r="I845" s="6"/>
    </row>
    <row r="846" ht="15.75" customHeight="1">
      <c r="G846" s="5"/>
      <c r="I846" s="6"/>
    </row>
    <row r="847" ht="15.75" customHeight="1">
      <c r="G847" s="5"/>
      <c r="I847" s="6"/>
    </row>
    <row r="848" ht="15.75" customHeight="1">
      <c r="G848" s="5"/>
      <c r="I848" s="6"/>
    </row>
    <row r="849" ht="15.75" customHeight="1">
      <c r="G849" s="5"/>
      <c r="I849" s="6"/>
    </row>
    <row r="850" ht="15.75" customHeight="1">
      <c r="G850" s="5"/>
      <c r="I850" s="6"/>
    </row>
    <row r="851" ht="15.75" customHeight="1">
      <c r="G851" s="5"/>
      <c r="I851" s="6"/>
    </row>
    <row r="852" ht="15.75" customHeight="1">
      <c r="G852" s="5"/>
      <c r="I852" s="6"/>
    </row>
    <row r="853" ht="15.75" customHeight="1">
      <c r="G853" s="5"/>
      <c r="I853" s="6"/>
    </row>
    <row r="854" ht="15.75" customHeight="1">
      <c r="G854" s="5"/>
      <c r="I854" s="6"/>
    </row>
    <row r="855" ht="15.75" customHeight="1">
      <c r="G855" s="5"/>
      <c r="I855" s="6"/>
    </row>
    <row r="856" ht="15.75" customHeight="1">
      <c r="G856" s="5"/>
      <c r="I856" s="6"/>
    </row>
    <row r="857" ht="15.75" customHeight="1">
      <c r="G857" s="5"/>
      <c r="I857" s="6"/>
    </row>
    <row r="858" ht="15.75" customHeight="1">
      <c r="G858" s="5"/>
      <c r="I858" s="6"/>
    </row>
    <row r="859" ht="15.75" customHeight="1">
      <c r="G859" s="5"/>
      <c r="I859" s="6"/>
    </row>
    <row r="860" ht="15.75" customHeight="1">
      <c r="G860" s="5"/>
      <c r="I860" s="6"/>
    </row>
    <row r="861" ht="15.75" customHeight="1">
      <c r="G861" s="5"/>
      <c r="I861" s="6"/>
    </row>
    <row r="862" ht="15.75" customHeight="1">
      <c r="G862" s="5"/>
      <c r="I862" s="6"/>
    </row>
    <row r="863" ht="15.75" customHeight="1">
      <c r="G863" s="5"/>
      <c r="I863" s="6"/>
    </row>
    <row r="864" ht="15.75" customHeight="1">
      <c r="G864" s="5"/>
      <c r="I864" s="6"/>
    </row>
    <row r="865" ht="15.75" customHeight="1">
      <c r="G865" s="5"/>
      <c r="I865" s="6"/>
    </row>
    <row r="866" ht="15.75" customHeight="1">
      <c r="G866" s="5"/>
      <c r="I866" s="6"/>
    </row>
    <row r="867" ht="15.75" customHeight="1">
      <c r="G867" s="5"/>
      <c r="I867" s="6"/>
    </row>
    <row r="868" ht="15.75" customHeight="1">
      <c r="G868" s="5"/>
      <c r="I868" s="6"/>
    </row>
    <row r="869" ht="15.75" customHeight="1">
      <c r="G869" s="5"/>
      <c r="I869" s="6"/>
    </row>
    <row r="870" ht="15.75" customHeight="1">
      <c r="G870" s="5"/>
      <c r="I870" s="6"/>
    </row>
    <row r="871" ht="15.75" customHeight="1">
      <c r="G871" s="5"/>
      <c r="I871" s="6"/>
    </row>
    <row r="872" ht="15.75" customHeight="1">
      <c r="G872" s="5"/>
      <c r="I872" s="6"/>
    </row>
    <row r="873" ht="15.75" customHeight="1">
      <c r="G873" s="5"/>
      <c r="I873" s="6"/>
    </row>
    <row r="874" ht="15.75" customHeight="1">
      <c r="G874" s="5"/>
      <c r="I874" s="6"/>
    </row>
    <row r="875" ht="15.75" customHeight="1">
      <c r="G875" s="5"/>
      <c r="I875" s="6"/>
    </row>
    <row r="876" ht="15.75" customHeight="1">
      <c r="G876" s="5"/>
      <c r="I876" s="6"/>
    </row>
    <row r="877" ht="15.75" customHeight="1">
      <c r="G877" s="5"/>
      <c r="I877" s="6"/>
    </row>
    <row r="878" ht="15.75" customHeight="1">
      <c r="G878" s="5"/>
      <c r="I878" s="6"/>
    </row>
    <row r="879" ht="15.75" customHeight="1">
      <c r="G879" s="5"/>
      <c r="I879" s="6"/>
    </row>
    <row r="880" ht="15.75" customHeight="1">
      <c r="G880" s="5"/>
      <c r="I880" s="6"/>
    </row>
    <row r="881" ht="15.75" customHeight="1">
      <c r="G881" s="5"/>
      <c r="I881" s="6"/>
    </row>
    <row r="882" ht="15.75" customHeight="1">
      <c r="G882" s="5"/>
      <c r="I882" s="6"/>
    </row>
    <row r="883" ht="15.75" customHeight="1">
      <c r="G883" s="5"/>
      <c r="I883" s="6"/>
    </row>
    <row r="884" ht="15.75" customHeight="1">
      <c r="G884" s="5"/>
      <c r="I884" s="6"/>
    </row>
    <row r="885" ht="15.75" customHeight="1">
      <c r="G885" s="5"/>
      <c r="I885" s="6"/>
    </row>
    <row r="886" ht="15.75" customHeight="1">
      <c r="G886" s="5"/>
      <c r="I886" s="6"/>
    </row>
    <row r="887" ht="15.75" customHeight="1">
      <c r="G887" s="5"/>
      <c r="I887" s="6"/>
    </row>
    <row r="888" ht="15.75" customHeight="1">
      <c r="G888" s="5"/>
      <c r="I888" s="6"/>
    </row>
    <row r="889" ht="15.75" customHeight="1">
      <c r="G889" s="5"/>
      <c r="I889" s="6"/>
    </row>
    <row r="890" ht="15.75" customHeight="1">
      <c r="G890" s="5"/>
      <c r="I890" s="6"/>
    </row>
    <row r="891" ht="15.75" customHeight="1">
      <c r="G891" s="5"/>
      <c r="I891" s="6"/>
    </row>
    <row r="892" ht="15.75" customHeight="1">
      <c r="G892" s="5"/>
      <c r="I892" s="6"/>
    </row>
    <row r="893" ht="15.75" customHeight="1">
      <c r="G893" s="5"/>
      <c r="I893" s="6"/>
    </row>
    <row r="894" ht="15.75" customHeight="1">
      <c r="G894" s="5"/>
      <c r="I894" s="6"/>
    </row>
    <row r="895" ht="15.75" customHeight="1">
      <c r="G895" s="5"/>
      <c r="I895" s="6"/>
    </row>
    <row r="896" ht="15.75" customHeight="1">
      <c r="G896" s="5"/>
      <c r="I896" s="6"/>
    </row>
    <row r="897" ht="15.75" customHeight="1">
      <c r="G897" s="5"/>
      <c r="I897" s="6"/>
    </row>
    <row r="898" ht="15.75" customHeight="1">
      <c r="G898" s="5"/>
      <c r="I898" s="6"/>
    </row>
    <row r="899" ht="15.75" customHeight="1">
      <c r="G899" s="5"/>
      <c r="I899" s="6"/>
    </row>
    <row r="900" ht="15.75" customHeight="1">
      <c r="G900" s="5"/>
      <c r="I900" s="6"/>
    </row>
    <row r="901" ht="15.75" customHeight="1">
      <c r="G901" s="5"/>
      <c r="I901" s="6"/>
    </row>
    <row r="902" ht="15.75" customHeight="1">
      <c r="G902" s="5"/>
      <c r="I902" s="6"/>
    </row>
    <row r="903" ht="15.75" customHeight="1">
      <c r="G903" s="5"/>
      <c r="I903" s="6"/>
    </row>
    <row r="904" ht="15.75" customHeight="1">
      <c r="G904" s="5"/>
      <c r="I904" s="6"/>
    </row>
    <row r="905" ht="15.75" customHeight="1">
      <c r="G905" s="5"/>
      <c r="I905" s="6"/>
    </row>
    <row r="906" ht="15.75" customHeight="1">
      <c r="G906" s="5"/>
      <c r="I906" s="6"/>
    </row>
    <row r="907" ht="15.75" customHeight="1">
      <c r="G907" s="5"/>
      <c r="I907" s="6"/>
    </row>
    <row r="908" ht="15.75" customHeight="1">
      <c r="G908" s="5"/>
      <c r="I908" s="6"/>
    </row>
    <row r="909" ht="15.75" customHeight="1">
      <c r="G909" s="5"/>
      <c r="I909" s="6"/>
    </row>
    <row r="910" ht="15.75" customHeight="1">
      <c r="G910" s="5"/>
      <c r="I910" s="6"/>
    </row>
    <row r="911" ht="15.75" customHeight="1">
      <c r="G911" s="5"/>
      <c r="I911" s="6"/>
    </row>
    <row r="912" ht="15.75" customHeight="1">
      <c r="G912" s="5"/>
      <c r="I912" s="6"/>
    </row>
    <row r="913" ht="15.75" customHeight="1">
      <c r="G913" s="5"/>
      <c r="I913" s="6"/>
    </row>
    <row r="914" ht="15.75" customHeight="1">
      <c r="G914" s="5"/>
      <c r="I914" s="6"/>
    </row>
    <row r="915" ht="15.75" customHeight="1">
      <c r="G915" s="5"/>
      <c r="I915" s="6"/>
    </row>
    <row r="916" ht="15.75" customHeight="1">
      <c r="G916" s="5"/>
      <c r="I916" s="6"/>
    </row>
    <row r="917" ht="15.75" customHeight="1">
      <c r="G917" s="5"/>
      <c r="I917" s="6"/>
    </row>
    <row r="918" ht="15.75" customHeight="1">
      <c r="G918" s="5"/>
      <c r="I918" s="6"/>
    </row>
    <row r="919" ht="15.75" customHeight="1">
      <c r="G919" s="5"/>
      <c r="I919" s="6"/>
    </row>
    <row r="920" ht="15.75" customHeight="1">
      <c r="G920" s="5"/>
      <c r="I920" s="6"/>
    </row>
    <row r="921" ht="15.75" customHeight="1">
      <c r="G921" s="5"/>
      <c r="I921" s="6"/>
    </row>
    <row r="922" ht="15.75" customHeight="1">
      <c r="G922" s="5"/>
      <c r="I922" s="6"/>
    </row>
    <row r="923" ht="15.75" customHeight="1">
      <c r="G923" s="5"/>
      <c r="I923" s="6"/>
    </row>
    <row r="924" ht="15.75" customHeight="1">
      <c r="G924" s="5"/>
      <c r="I924" s="6"/>
    </row>
    <row r="925" ht="15.75" customHeight="1">
      <c r="G925" s="5"/>
      <c r="I925" s="6"/>
    </row>
    <row r="926" ht="15.75" customHeight="1">
      <c r="G926" s="5"/>
      <c r="I926" s="6"/>
    </row>
    <row r="927" ht="15.75" customHeight="1">
      <c r="G927" s="5"/>
      <c r="I927" s="6"/>
    </row>
    <row r="928" ht="15.75" customHeight="1">
      <c r="G928" s="5"/>
      <c r="I928" s="6"/>
    </row>
    <row r="929" ht="15.75" customHeight="1">
      <c r="G929" s="5"/>
      <c r="I929" s="6"/>
    </row>
    <row r="930" ht="15.75" customHeight="1">
      <c r="G930" s="5"/>
      <c r="I930" s="6"/>
    </row>
    <row r="931" ht="15.75" customHeight="1">
      <c r="G931" s="5"/>
      <c r="I931" s="6"/>
    </row>
    <row r="932" ht="15.75" customHeight="1">
      <c r="G932" s="5"/>
      <c r="I932" s="6"/>
    </row>
    <row r="933" ht="15.75" customHeight="1">
      <c r="G933" s="5"/>
      <c r="I933" s="6"/>
    </row>
    <row r="934" ht="15.75" customHeight="1">
      <c r="G934" s="5"/>
      <c r="I934" s="6"/>
    </row>
    <row r="935" ht="15.75" customHeight="1">
      <c r="G935" s="5"/>
      <c r="I935" s="6"/>
    </row>
    <row r="936" ht="15.75" customHeight="1">
      <c r="G936" s="5"/>
      <c r="I936" s="6"/>
    </row>
    <row r="937" ht="15.75" customHeight="1">
      <c r="G937" s="5"/>
      <c r="I937" s="6"/>
    </row>
    <row r="938" ht="15.75" customHeight="1">
      <c r="G938" s="5"/>
      <c r="I938" s="6"/>
    </row>
    <row r="939" ht="15.75" customHeight="1">
      <c r="G939" s="5"/>
      <c r="I939" s="6"/>
    </row>
    <row r="940" ht="15.75" customHeight="1">
      <c r="G940" s="5"/>
      <c r="I940" s="6"/>
    </row>
    <row r="941" ht="15.75" customHeight="1">
      <c r="G941" s="5"/>
      <c r="I941" s="6"/>
    </row>
    <row r="942" ht="15.75" customHeight="1">
      <c r="G942" s="5"/>
      <c r="I942" s="6"/>
    </row>
    <row r="943" ht="15.75" customHeight="1">
      <c r="G943" s="5"/>
      <c r="I943" s="6"/>
    </row>
    <row r="944" ht="15.75" customHeight="1">
      <c r="G944" s="5"/>
      <c r="I944" s="6"/>
    </row>
    <row r="945" ht="15.75" customHeight="1">
      <c r="G945" s="5"/>
      <c r="I945" s="6"/>
    </row>
    <row r="946" ht="15.75" customHeight="1">
      <c r="G946" s="5"/>
      <c r="I946" s="6"/>
    </row>
    <row r="947" ht="15.75" customHeight="1">
      <c r="G947" s="5"/>
      <c r="I947" s="6"/>
    </row>
    <row r="948" ht="15.75" customHeight="1">
      <c r="G948" s="5"/>
      <c r="I948" s="6"/>
    </row>
    <row r="949" ht="15.75" customHeight="1">
      <c r="G949" s="5"/>
      <c r="I949" s="6"/>
    </row>
    <row r="950" ht="15.75" customHeight="1">
      <c r="G950" s="5"/>
      <c r="I950" s="6"/>
    </row>
    <row r="951" ht="15.75" customHeight="1">
      <c r="G951" s="5"/>
      <c r="I951" s="6"/>
    </row>
    <row r="952" ht="15.75" customHeight="1">
      <c r="G952" s="5"/>
      <c r="I952" s="6"/>
    </row>
    <row r="953" ht="15.75" customHeight="1">
      <c r="G953" s="5"/>
      <c r="I953" s="6"/>
    </row>
    <row r="954" ht="15.75" customHeight="1">
      <c r="G954" s="5"/>
      <c r="I954" s="6"/>
    </row>
    <row r="955" ht="15.75" customHeight="1">
      <c r="G955" s="5"/>
      <c r="I955" s="6"/>
    </row>
    <row r="956" ht="15.75" customHeight="1">
      <c r="G956" s="5"/>
      <c r="I956" s="6"/>
    </row>
    <row r="957" ht="15.75" customHeight="1">
      <c r="G957" s="5"/>
      <c r="I957" s="6"/>
    </row>
    <row r="958" ht="15.75" customHeight="1">
      <c r="G958" s="5"/>
      <c r="I958" s="6"/>
    </row>
    <row r="959" ht="15.75" customHeight="1">
      <c r="G959" s="5"/>
      <c r="I959" s="6"/>
    </row>
    <row r="960" ht="15.75" customHeight="1">
      <c r="G960" s="5"/>
      <c r="I960" s="6"/>
    </row>
    <row r="961" ht="15.75" customHeight="1">
      <c r="G961" s="5"/>
      <c r="I961" s="6"/>
    </row>
    <row r="962" ht="15.75" customHeight="1">
      <c r="G962" s="5"/>
      <c r="I962" s="6"/>
    </row>
    <row r="963" ht="15.75" customHeight="1">
      <c r="G963" s="5"/>
      <c r="I963" s="6"/>
    </row>
    <row r="964" ht="15.75" customHeight="1">
      <c r="G964" s="5"/>
      <c r="I964" s="6"/>
    </row>
    <row r="965" ht="15.75" customHeight="1">
      <c r="G965" s="5"/>
      <c r="I965" s="6"/>
    </row>
    <row r="966" ht="15.75" customHeight="1">
      <c r="G966" s="5"/>
      <c r="I966" s="6"/>
    </row>
    <row r="967" ht="15.75" customHeight="1">
      <c r="G967" s="5"/>
      <c r="I967" s="6"/>
    </row>
    <row r="968" ht="15.75" customHeight="1">
      <c r="G968" s="5"/>
      <c r="I968" s="6"/>
    </row>
    <row r="969" ht="15.75" customHeight="1">
      <c r="G969" s="5"/>
      <c r="I969" s="6"/>
    </row>
    <row r="970" ht="15.75" customHeight="1">
      <c r="G970" s="5"/>
      <c r="I970" s="6"/>
    </row>
    <row r="971" ht="15.75" customHeight="1">
      <c r="G971" s="5"/>
      <c r="I971" s="6"/>
    </row>
    <row r="972" ht="15.75" customHeight="1">
      <c r="G972" s="5"/>
      <c r="I972" s="6"/>
    </row>
    <row r="973" ht="15.75" customHeight="1">
      <c r="G973" s="5"/>
      <c r="I973" s="6"/>
    </row>
    <row r="974" ht="15.75" customHeight="1">
      <c r="G974" s="5"/>
      <c r="I974" s="6"/>
    </row>
    <row r="975" ht="15.75" customHeight="1">
      <c r="G975" s="5"/>
      <c r="I975" s="6"/>
    </row>
    <row r="976" ht="15.75" customHeight="1">
      <c r="G976" s="5"/>
      <c r="I976" s="6"/>
    </row>
    <row r="977" ht="15.75" customHeight="1">
      <c r="G977" s="5"/>
      <c r="I977" s="6"/>
    </row>
    <row r="978" ht="15.75" customHeight="1">
      <c r="G978" s="5"/>
      <c r="I978" s="6"/>
    </row>
    <row r="979" ht="15.75" customHeight="1">
      <c r="G979" s="5"/>
      <c r="I979" s="6"/>
    </row>
    <row r="980" ht="15.75" customHeight="1">
      <c r="G980" s="5"/>
      <c r="I980" s="6"/>
    </row>
    <row r="981" ht="15.75" customHeight="1">
      <c r="G981" s="5"/>
      <c r="I981" s="6"/>
    </row>
    <row r="982" ht="15.75" customHeight="1">
      <c r="G982" s="5"/>
      <c r="I982" s="6"/>
    </row>
    <row r="983" ht="15.75" customHeight="1">
      <c r="G983" s="5"/>
      <c r="I983" s="6"/>
    </row>
    <row r="984" ht="15.75" customHeight="1">
      <c r="G984" s="5"/>
      <c r="I984" s="6"/>
    </row>
    <row r="985" ht="15.75" customHeight="1">
      <c r="G985" s="5"/>
      <c r="I985" s="6"/>
    </row>
    <row r="986" ht="15.75" customHeight="1">
      <c r="G986" s="5"/>
      <c r="I986" s="6"/>
    </row>
    <row r="987" ht="15.75" customHeight="1">
      <c r="G987" s="5"/>
      <c r="I987" s="6"/>
    </row>
    <row r="988" ht="15.75" customHeight="1">
      <c r="G988" s="5"/>
      <c r="I988" s="6"/>
    </row>
    <row r="989" ht="15.75" customHeight="1">
      <c r="G989" s="5"/>
      <c r="I989" s="6"/>
    </row>
    <row r="990" ht="15.75" customHeight="1">
      <c r="G990" s="5"/>
      <c r="I990" s="6"/>
    </row>
    <row r="991" ht="15.75" customHeight="1">
      <c r="G991" s="5"/>
      <c r="I991" s="6"/>
    </row>
    <row r="992" ht="15.75" customHeight="1">
      <c r="G992" s="5"/>
      <c r="I992" s="6"/>
    </row>
    <row r="993" ht="15.75" customHeight="1">
      <c r="G993" s="5"/>
      <c r="I993" s="6"/>
    </row>
    <row r="994" ht="15.75" customHeight="1">
      <c r="G994" s="5"/>
      <c r="I994" s="6"/>
    </row>
    <row r="995" ht="15.75" customHeight="1">
      <c r="G995" s="5"/>
      <c r="I995" s="6"/>
    </row>
    <row r="996" ht="15.75" customHeight="1">
      <c r="G996" s="5"/>
      <c r="I996" s="6"/>
    </row>
    <row r="997" ht="15.75" customHeight="1">
      <c r="G997" s="5"/>
      <c r="I997" s="6"/>
    </row>
    <row r="998" ht="15.75" customHeight="1">
      <c r="G998" s="5"/>
      <c r="I998" s="6"/>
    </row>
    <row r="999" ht="15.75" customHeight="1">
      <c r="G999" s="5"/>
      <c r="I999" s="6"/>
    </row>
    <row r="1000" ht="15.75" customHeight="1">
      <c r="G1000" s="5"/>
      <c r="I1000" s="6"/>
    </row>
  </sheetData>
  <autoFilter ref="$A$1:$X$1">
    <sortState ref="A1:X1">
      <sortCondition ref="D1"/>
    </sortState>
  </autoFilter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23.75"/>
    <col customWidth="1" min="3" max="3" width="7.63"/>
    <col customWidth="1" min="4" max="4" width="60.13"/>
    <col customWidth="1" min="5" max="5" width="30.75"/>
    <col customWidth="1" min="6" max="6" width="7.63"/>
    <col customWidth="1" min="7" max="7" width="8.0"/>
    <col customWidth="1" min="8" max="8" width="7.63"/>
    <col customWidth="1" min="9" max="9" width="10.5"/>
    <col customWidth="1" min="10" max="26" width="7.63"/>
  </cols>
  <sheetData>
    <row r="1">
      <c r="A1" s="30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30" t="s">
        <v>5</v>
      </c>
      <c r="G1" s="5" t="s">
        <v>255</v>
      </c>
      <c r="H1" s="30" t="s">
        <v>9</v>
      </c>
      <c r="I1" s="87" t="s">
        <v>10</v>
      </c>
      <c r="J1" s="30" t="s">
        <v>11</v>
      </c>
    </row>
    <row r="2">
      <c r="A2" s="30" t="s">
        <v>15</v>
      </c>
      <c r="B2" s="30" t="s">
        <v>124</v>
      </c>
      <c r="C2" s="30" t="s">
        <v>204</v>
      </c>
      <c r="D2" s="30" t="s">
        <v>125</v>
      </c>
      <c r="E2" s="30" t="s">
        <v>124</v>
      </c>
      <c r="F2" s="30" t="s">
        <v>126</v>
      </c>
      <c r="G2" s="5">
        <v>0.0</v>
      </c>
      <c r="H2" s="30">
        <v>18200.0</v>
      </c>
      <c r="I2" s="6">
        <v>0.14</v>
      </c>
      <c r="J2" s="30">
        <v>2600.0</v>
      </c>
    </row>
    <row r="3">
      <c r="A3" s="30" t="s">
        <v>15</v>
      </c>
      <c r="B3" s="30" t="s">
        <v>188</v>
      </c>
      <c r="C3" s="30" t="s">
        <v>204</v>
      </c>
      <c r="D3" s="30" t="s">
        <v>189</v>
      </c>
      <c r="E3" s="30" t="s">
        <v>190</v>
      </c>
      <c r="F3" s="30" t="s">
        <v>191</v>
      </c>
      <c r="G3" s="5">
        <v>0.0</v>
      </c>
      <c r="H3" s="30">
        <v>4160.0</v>
      </c>
      <c r="I3" s="6">
        <v>0.59</v>
      </c>
    </row>
    <row r="4">
      <c r="A4" s="30" t="s">
        <v>15</v>
      </c>
      <c r="B4" s="30" t="s">
        <v>192</v>
      </c>
      <c r="C4" s="30" t="s">
        <v>204</v>
      </c>
      <c r="D4" s="30" t="s">
        <v>193</v>
      </c>
      <c r="E4" s="30" t="s">
        <v>193</v>
      </c>
      <c r="F4" s="30" t="s">
        <v>191</v>
      </c>
      <c r="G4" s="5">
        <v>0.0</v>
      </c>
      <c r="H4" s="30">
        <v>0.0</v>
      </c>
      <c r="I4" s="6">
        <v>0.53</v>
      </c>
    </row>
    <row r="5">
      <c r="A5" s="30" t="s">
        <v>15</v>
      </c>
      <c r="B5" s="30" t="s">
        <v>194</v>
      </c>
      <c r="C5" s="30" t="s">
        <v>204</v>
      </c>
      <c r="D5" s="30" t="s">
        <v>195</v>
      </c>
      <c r="E5" s="30" t="s">
        <v>194</v>
      </c>
      <c r="F5" s="30" t="s">
        <v>191</v>
      </c>
      <c r="G5" s="5">
        <v>0.0</v>
      </c>
      <c r="H5" s="30">
        <v>22310.0</v>
      </c>
      <c r="I5" s="6">
        <v>0.56</v>
      </c>
    </row>
    <row r="6">
      <c r="A6" s="30" t="s">
        <v>15</v>
      </c>
      <c r="B6" s="30" t="s">
        <v>16</v>
      </c>
      <c r="C6" s="30" t="s">
        <v>204</v>
      </c>
      <c r="D6" s="30" t="s">
        <v>17</v>
      </c>
      <c r="E6" s="30" t="s">
        <v>18</v>
      </c>
      <c r="F6" s="30" t="s">
        <v>19</v>
      </c>
      <c r="G6" s="5">
        <v>0.0</v>
      </c>
      <c r="H6" s="30">
        <v>29900.0</v>
      </c>
      <c r="I6" s="6">
        <v>0.12</v>
      </c>
      <c r="J6" s="30">
        <v>2304.0</v>
      </c>
    </row>
    <row r="7">
      <c r="A7" s="30" t="s">
        <v>15</v>
      </c>
      <c r="B7" s="30" t="s">
        <v>20</v>
      </c>
      <c r="C7" s="30" t="s">
        <v>204</v>
      </c>
      <c r="D7" s="30" t="s">
        <v>21</v>
      </c>
      <c r="E7" s="30">
        <v>4.05030023E8</v>
      </c>
      <c r="F7" s="30" t="s">
        <v>19</v>
      </c>
      <c r="G7" s="5">
        <v>0.0</v>
      </c>
      <c r="H7" s="30">
        <v>0.0</v>
      </c>
      <c r="I7" s="6">
        <v>0.19</v>
      </c>
      <c r="J7" s="30">
        <v>810.0</v>
      </c>
    </row>
    <row r="8">
      <c r="A8" s="30" t="s">
        <v>15</v>
      </c>
      <c r="B8" s="30" t="s">
        <v>127</v>
      </c>
      <c r="C8" s="30" t="s">
        <v>204</v>
      </c>
      <c r="D8" s="30" t="s">
        <v>128</v>
      </c>
      <c r="E8" s="30" t="s">
        <v>127</v>
      </c>
      <c r="F8" s="30" t="s">
        <v>126</v>
      </c>
      <c r="G8" s="5">
        <v>0.0</v>
      </c>
      <c r="H8" s="30">
        <v>0.0</v>
      </c>
      <c r="I8" s="6">
        <v>0.11</v>
      </c>
      <c r="J8" s="30">
        <v>1400.0</v>
      </c>
    </row>
    <row r="9">
      <c r="A9" s="30" t="s">
        <v>15</v>
      </c>
      <c r="B9" s="30" t="s">
        <v>129</v>
      </c>
      <c r="C9" s="30" t="s">
        <v>204</v>
      </c>
      <c r="D9" s="30" t="s">
        <v>130</v>
      </c>
      <c r="E9" s="30" t="s">
        <v>129</v>
      </c>
      <c r="F9" s="30" t="s">
        <v>126</v>
      </c>
      <c r="G9" s="5">
        <v>0.0</v>
      </c>
      <c r="H9" s="30">
        <v>0.0</v>
      </c>
      <c r="I9" s="6">
        <v>0.0</v>
      </c>
      <c r="J9" s="30">
        <v>2400.0</v>
      </c>
    </row>
    <row r="10">
      <c r="A10" s="30" t="s">
        <v>15</v>
      </c>
      <c r="B10" s="30" t="s">
        <v>131</v>
      </c>
      <c r="C10" s="30" t="s">
        <v>23</v>
      </c>
      <c r="D10" s="30" t="s">
        <v>132</v>
      </c>
      <c r="E10" s="30" t="s">
        <v>131</v>
      </c>
      <c r="F10" s="30" t="s">
        <v>126</v>
      </c>
      <c r="G10" s="5">
        <v>0.0</v>
      </c>
      <c r="H10" s="30">
        <v>0.0</v>
      </c>
      <c r="I10" s="6">
        <v>0.17</v>
      </c>
      <c r="J10" s="30">
        <v>1400.0</v>
      </c>
    </row>
    <row r="11">
      <c r="A11" s="30" t="s">
        <v>15</v>
      </c>
      <c r="B11" s="30" t="s">
        <v>133</v>
      </c>
      <c r="C11" s="30" t="s">
        <v>204</v>
      </c>
      <c r="D11" s="30" t="s">
        <v>134</v>
      </c>
      <c r="E11" s="30" t="s">
        <v>133</v>
      </c>
      <c r="F11" s="30" t="s">
        <v>126</v>
      </c>
      <c r="G11" s="5">
        <v>0.0</v>
      </c>
      <c r="H11" s="30">
        <v>700.0</v>
      </c>
      <c r="I11" s="6">
        <v>0.32</v>
      </c>
      <c r="J11" s="30">
        <v>700.0</v>
      </c>
    </row>
    <row r="12">
      <c r="A12" s="30" t="s">
        <v>15</v>
      </c>
      <c r="B12" s="30" t="s">
        <v>135</v>
      </c>
      <c r="C12" s="30" t="s">
        <v>204</v>
      </c>
      <c r="D12" s="30" t="s">
        <v>136</v>
      </c>
      <c r="E12" s="30" t="s">
        <v>135</v>
      </c>
      <c r="F12" s="30" t="s">
        <v>126</v>
      </c>
      <c r="G12" s="5">
        <v>0.0</v>
      </c>
      <c r="H12" s="30">
        <v>19200.0</v>
      </c>
      <c r="I12" s="6">
        <v>0.26</v>
      </c>
      <c r="J12" s="30">
        <v>800.0</v>
      </c>
    </row>
    <row r="13">
      <c r="A13" s="30" t="s">
        <v>15</v>
      </c>
      <c r="B13" s="30" t="s">
        <v>183</v>
      </c>
      <c r="C13" s="30" t="s">
        <v>204</v>
      </c>
      <c r="D13" s="30" t="s">
        <v>184</v>
      </c>
      <c r="F13" s="30" t="s">
        <v>185</v>
      </c>
      <c r="G13" s="5">
        <v>2000.0</v>
      </c>
      <c r="H13" s="30">
        <v>7400.0</v>
      </c>
      <c r="I13" s="6">
        <v>0.25</v>
      </c>
    </row>
    <row r="14">
      <c r="A14" s="30" t="s">
        <v>15</v>
      </c>
      <c r="B14" s="30" t="s">
        <v>186</v>
      </c>
      <c r="C14" s="30" t="s">
        <v>204</v>
      </c>
      <c r="D14" s="30" t="s">
        <v>187</v>
      </c>
      <c r="F14" s="30" t="s">
        <v>185</v>
      </c>
      <c r="G14" s="5">
        <v>0.0</v>
      </c>
      <c r="H14" s="30">
        <v>0.0</v>
      </c>
      <c r="I14" s="6">
        <v>0.3</v>
      </c>
    </row>
    <row r="15">
      <c r="A15" s="30" t="s">
        <v>15</v>
      </c>
      <c r="B15" s="30" t="s">
        <v>137</v>
      </c>
      <c r="C15" s="30" t="s">
        <v>204</v>
      </c>
      <c r="D15" s="30" t="s">
        <v>138</v>
      </c>
      <c r="E15" s="30" t="s">
        <v>137</v>
      </c>
      <c r="F15" s="30" t="s">
        <v>126</v>
      </c>
      <c r="G15" s="5">
        <v>0.0</v>
      </c>
      <c r="H15" s="30">
        <v>15600.0</v>
      </c>
      <c r="I15" s="6">
        <v>0.13</v>
      </c>
      <c r="J15" s="30">
        <v>1950.0</v>
      </c>
    </row>
    <row r="16">
      <c r="A16" s="30" t="s">
        <v>15</v>
      </c>
      <c r="B16" s="30" t="s">
        <v>139</v>
      </c>
      <c r="C16" s="30" t="s">
        <v>204</v>
      </c>
      <c r="D16" s="30" t="s">
        <v>140</v>
      </c>
      <c r="E16" s="30" t="s">
        <v>139</v>
      </c>
      <c r="F16" s="30" t="s">
        <v>126</v>
      </c>
      <c r="G16" s="5">
        <v>0.0</v>
      </c>
      <c r="H16" s="30">
        <v>0.0</v>
      </c>
      <c r="I16" s="6">
        <v>0.11</v>
      </c>
      <c r="J16" s="30">
        <v>1950.0</v>
      </c>
    </row>
    <row r="17">
      <c r="A17" s="30" t="s">
        <v>15</v>
      </c>
      <c r="B17" s="30" t="s">
        <v>22</v>
      </c>
      <c r="C17" s="30" t="s">
        <v>23</v>
      </c>
      <c r="D17" s="30" t="s">
        <v>24</v>
      </c>
      <c r="E17" s="30" t="s">
        <v>25</v>
      </c>
      <c r="F17" s="30" t="s">
        <v>19</v>
      </c>
      <c r="G17" s="5">
        <v>0.0</v>
      </c>
      <c r="H17" s="30">
        <v>0.0</v>
      </c>
      <c r="I17" s="6">
        <v>0.16</v>
      </c>
      <c r="J17" s="30">
        <v>1632.0</v>
      </c>
    </row>
    <row r="18">
      <c r="A18" s="30" t="s">
        <v>15</v>
      </c>
      <c r="B18" s="30" t="s">
        <v>26</v>
      </c>
      <c r="C18" s="30" t="s">
        <v>204</v>
      </c>
      <c r="D18" s="30" t="s">
        <v>27</v>
      </c>
      <c r="E18" s="30" t="s">
        <v>28</v>
      </c>
      <c r="F18" s="30" t="s">
        <v>19</v>
      </c>
      <c r="G18" s="5">
        <v>0.0</v>
      </c>
      <c r="H18" s="30">
        <v>33600.0</v>
      </c>
      <c r="I18" s="6">
        <v>0.13</v>
      </c>
      <c r="J18" s="30">
        <v>1680.0</v>
      </c>
    </row>
    <row r="19">
      <c r="A19" s="30" t="s">
        <v>15</v>
      </c>
      <c r="B19" s="30" t="s">
        <v>29</v>
      </c>
      <c r="C19" s="30" t="s">
        <v>23</v>
      </c>
      <c r="D19" s="30" t="s">
        <v>30</v>
      </c>
      <c r="E19" s="30" t="s">
        <v>31</v>
      </c>
      <c r="F19" s="30" t="s">
        <v>19</v>
      </c>
      <c r="G19" s="5">
        <v>39970.0</v>
      </c>
      <c r="H19" s="30">
        <v>48370.0</v>
      </c>
      <c r="I19" s="6">
        <v>0.13</v>
      </c>
      <c r="J19" s="30">
        <v>1680.0</v>
      </c>
    </row>
    <row r="20">
      <c r="A20" s="30" t="s">
        <v>15</v>
      </c>
      <c r="B20" s="30" t="s">
        <v>141</v>
      </c>
      <c r="C20" s="30" t="s">
        <v>23</v>
      </c>
      <c r="D20" s="30" t="s">
        <v>30</v>
      </c>
      <c r="E20" s="30" t="s">
        <v>141</v>
      </c>
      <c r="F20" s="30" t="s">
        <v>126</v>
      </c>
      <c r="G20" s="5">
        <v>0.0</v>
      </c>
      <c r="H20" s="30">
        <v>0.0</v>
      </c>
      <c r="I20" s="6">
        <v>0.14</v>
      </c>
      <c r="J20" s="30">
        <v>1950.0</v>
      </c>
    </row>
    <row r="21" ht="15.75" customHeight="1">
      <c r="A21" s="30" t="s">
        <v>15</v>
      </c>
      <c r="B21" s="30" t="s">
        <v>142</v>
      </c>
      <c r="C21" s="30" t="s">
        <v>204</v>
      </c>
      <c r="D21" s="30" t="s">
        <v>143</v>
      </c>
      <c r="E21" s="30" t="s">
        <v>142</v>
      </c>
      <c r="F21" s="30" t="s">
        <v>126</v>
      </c>
      <c r="G21" s="5">
        <v>0.0</v>
      </c>
      <c r="H21" s="30">
        <v>121900.0</v>
      </c>
      <c r="I21" s="6">
        <v>0.12</v>
      </c>
      <c r="J21" s="30">
        <v>2600.0</v>
      </c>
    </row>
    <row r="22" ht="15.75" customHeight="1">
      <c r="A22" s="30" t="s">
        <v>15</v>
      </c>
      <c r="B22" s="30" t="s">
        <v>144</v>
      </c>
      <c r="C22" s="30" t="s">
        <v>204</v>
      </c>
      <c r="D22" s="30" t="s">
        <v>145</v>
      </c>
      <c r="E22" s="30" t="s">
        <v>144</v>
      </c>
      <c r="F22" s="30" t="s">
        <v>126</v>
      </c>
      <c r="G22" s="5">
        <v>0.0</v>
      </c>
      <c r="H22" s="30">
        <v>17850.0</v>
      </c>
      <c r="I22" s="6">
        <v>0.14</v>
      </c>
      <c r="J22" s="30">
        <v>1275.0</v>
      </c>
    </row>
    <row r="23" ht="15.75" customHeight="1">
      <c r="A23" s="30" t="s">
        <v>15</v>
      </c>
      <c r="B23" s="30" t="s">
        <v>32</v>
      </c>
      <c r="C23" s="30" t="s">
        <v>204</v>
      </c>
      <c r="D23" s="30" t="s">
        <v>207</v>
      </c>
      <c r="E23" s="30" t="s">
        <v>34</v>
      </c>
      <c r="F23" s="30" t="s">
        <v>19</v>
      </c>
      <c r="G23" s="5">
        <v>45980.0</v>
      </c>
      <c r="H23" s="30">
        <v>49724.0</v>
      </c>
      <c r="I23" s="6">
        <v>0.12</v>
      </c>
      <c r="J23" s="30">
        <v>2300.0</v>
      </c>
    </row>
    <row r="24" ht="15.75" customHeight="1">
      <c r="A24" s="30" t="s">
        <v>15</v>
      </c>
      <c r="B24" s="30" t="s">
        <v>35</v>
      </c>
      <c r="C24" s="30" t="s">
        <v>23</v>
      </c>
      <c r="D24" s="30" t="s">
        <v>36</v>
      </c>
      <c r="E24" s="30" t="s">
        <v>37</v>
      </c>
      <c r="F24" s="30" t="s">
        <v>19</v>
      </c>
      <c r="G24" s="5">
        <v>0.0</v>
      </c>
      <c r="H24" s="30">
        <v>0.0</v>
      </c>
      <c r="I24" s="6">
        <v>0.13</v>
      </c>
      <c r="J24" s="30">
        <v>950.0</v>
      </c>
    </row>
    <row r="25" ht="15.75" customHeight="1">
      <c r="A25" s="30" t="s">
        <v>15</v>
      </c>
      <c r="B25" s="30" t="s">
        <v>146</v>
      </c>
      <c r="C25" s="30" t="s">
        <v>23</v>
      </c>
      <c r="D25" s="30" t="s">
        <v>147</v>
      </c>
      <c r="E25" s="30" t="s">
        <v>146</v>
      </c>
      <c r="F25" s="30" t="s">
        <v>126</v>
      </c>
      <c r="G25" s="5">
        <v>0.0</v>
      </c>
      <c r="H25" s="30">
        <v>0.0</v>
      </c>
      <c r="I25" s="6">
        <v>0.19</v>
      </c>
      <c r="J25" s="30">
        <v>950.0</v>
      </c>
    </row>
    <row r="26" ht="15.75" customHeight="1">
      <c r="A26" s="30" t="s">
        <v>15</v>
      </c>
      <c r="B26" s="30" t="s">
        <v>38</v>
      </c>
      <c r="C26" s="30" t="s">
        <v>23</v>
      </c>
      <c r="D26" s="30" t="s">
        <v>39</v>
      </c>
      <c r="E26" s="30" t="s">
        <v>40</v>
      </c>
      <c r="F26" s="30" t="s">
        <v>19</v>
      </c>
      <c r="G26" s="5">
        <v>0.0</v>
      </c>
      <c r="H26" s="30">
        <v>18050.0</v>
      </c>
      <c r="I26" s="6">
        <v>0.2</v>
      </c>
      <c r="J26" s="30">
        <v>950.0</v>
      </c>
    </row>
    <row r="27" ht="15.75" customHeight="1">
      <c r="A27" s="30" t="s">
        <v>15</v>
      </c>
      <c r="B27" s="30" t="s">
        <v>41</v>
      </c>
      <c r="C27" s="30" t="s">
        <v>23</v>
      </c>
      <c r="D27" s="30" t="s">
        <v>42</v>
      </c>
      <c r="E27" s="30" t="s">
        <v>43</v>
      </c>
      <c r="F27" s="30" t="s">
        <v>19</v>
      </c>
      <c r="G27" s="5">
        <v>0.0</v>
      </c>
      <c r="H27" s="30">
        <v>927.0</v>
      </c>
      <c r="I27" s="6">
        <v>0.31</v>
      </c>
      <c r="J27" s="30">
        <v>927.0</v>
      </c>
    </row>
    <row r="28" ht="15.75" customHeight="1">
      <c r="A28" s="30" t="s">
        <v>15</v>
      </c>
      <c r="B28" s="30" t="s">
        <v>148</v>
      </c>
      <c r="C28" s="30" t="s">
        <v>204</v>
      </c>
      <c r="D28" s="30" t="s">
        <v>149</v>
      </c>
      <c r="E28" s="30" t="s">
        <v>148</v>
      </c>
      <c r="F28" s="30" t="s">
        <v>126</v>
      </c>
      <c r="G28" s="5">
        <v>0.0</v>
      </c>
      <c r="H28" s="30">
        <v>0.0</v>
      </c>
      <c r="I28" s="6">
        <v>0.15</v>
      </c>
      <c r="J28" s="30">
        <v>950.0</v>
      </c>
    </row>
    <row r="29" ht="15.75" customHeight="1">
      <c r="A29" s="30" t="s">
        <v>15</v>
      </c>
      <c r="B29" s="30" t="s">
        <v>44</v>
      </c>
      <c r="C29" s="30" t="s">
        <v>23</v>
      </c>
      <c r="D29" s="30" t="s">
        <v>45</v>
      </c>
      <c r="E29" s="30" t="s">
        <v>46</v>
      </c>
      <c r="F29" s="30" t="s">
        <v>19</v>
      </c>
      <c r="G29" s="5">
        <v>0.0</v>
      </c>
      <c r="H29" s="30">
        <v>0.0</v>
      </c>
      <c r="I29" s="6">
        <v>0.17</v>
      </c>
      <c r="J29" s="30">
        <v>880.0</v>
      </c>
    </row>
    <row r="30" ht="15.75" customHeight="1">
      <c r="A30" s="30" t="s">
        <v>15</v>
      </c>
      <c r="B30" s="30" t="s">
        <v>150</v>
      </c>
      <c r="C30" s="30" t="s">
        <v>23</v>
      </c>
      <c r="D30" s="30" t="s">
        <v>151</v>
      </c>
      <c r="E30" s="30" t="s">
        <v>152</v>
      </c>
      <c r="F30" s="30" t="s">
        <v>126</v>
      </c>
      <c r="G30" s="5">
        <v>0.0</v>
      </c>
      <c r="H30" s="30">
        <v>16800.0</v>
      </c>
      <c r="I30" s="6">
        <v>0.35</v>
      </c>
      <c r="J30" s="30">
        <v>700.0</v>
      </c>
    </row>
    <row r="31" ht="15.75" customHeight="1">
      <c r="A31" s="30" t="s">
        <v>15</v>
      </c>
      <c r="B31" s="30" t="s">
        <v>153</v>
      </c>
      <c r="C31" s="30" t="s">
        <v>23</v>
      </c>
      <c r="D31" s="30" t="s">
        <v>154</v>
      </c>
      <c r="E31" s="30" t="s">
        <v>153</v>
      </c>
      <c r="F31" s="30" t="s">
        <v>126</v>
      </c>
      <c r="G31" s="5">
        <v>0.0</v>
      </c>
      <c r="H31" s="30">
        <v>0.0</v>
      </c>
      <c r="I31" s="6">
        <v>0.2</v>
      </c>
      <c r="J31" s="30">
        <v>950.0</v>
      </c>
    </row>
    <row r="32" ht="15.75" customHeight="1">
      <c r="A32" s="30" t="s">
        <v>15</v>
      </c>
      <c r="B32" s="30" t="s">
        <v>47</v>
      </c>
      <c r="C32" s="30" t="s">
        <v>204</v>
      </c>
      <c r="D32" s="30" t="s">
        <v>48</v>
      </c>
      <c r="E32" s="30" t="s">
        <v>49</v>
      </c>
      <c r="F32" s="30" t="s">
        <v>19</v>
      </c>
      <c r="G32" s="5">
        <v>31240.0</v>
      </c>
      <c r="H32" s="30">
        <v>31240.0</v>
      </c>
      <c r="I32" s="6">
        <v>0.21</v>
      </c>
      <c r="J32" s="30">
        <v>1562.0</v>
      </c>
    </row>
    <row r="33" ht="15.75" customHeight="1">
      <c r="A33" s="30" t="s">
        <v>15</v>
      </c>
      <c r="B33" s="30" t="s">
        <v>50</v>
      </c>
      <c r="C33" s="30" t="s">
        <v>23</v>
      </c>
      <c r="D33" s="30" t="s">
        <v>51</v>
      </c>
      <c r="E33" s="30" t="s">
        <v>52</v>
      </c>
      <c r="F33" s="30" t="s">
        <v>19</v>
      </c>
      <c r="G33" s="5">
        <v>0.0</v>
      </c>
      <c r="H33" s="30">
        <v>0.0</v>
      </c>
      <c r="I33" s="6">
        <v>0.21</v>
      </c>
      <c r="J33" s="30">
        <v>880.0</v>
      </c>
    </row>
    <row r="34" ht="15.75" customHeight="1">
      <c r="A34" s="30" t="s">
        <v>15</v>
      </c>
      <c r="B34" s="30" t="s">
        <v>53</v>
      </c>
      <c r="C34" s="30" t="s">
        <v>204</v>
      </c>
      <c r="D34" s="30" t="s">
        <v>54</v>
      </c>
      <c r="E34" s="30" t="s">
        <v>55</v>
      </c>
      <c r="F34" s="30" t="s">
        <v>19</v>
      </c>
      <c r="G34" s="5">
        <v>0.0</v>
      </c>
      <c r="H34" s="30">
        <v>4000.0</v>
      </c>
      <c r="I34" s="6">
        <v>0.11</v>
      </c>
      <c r="J34" s="30">
        <v>2000.0</v>
      </c>
    </row>
    <row r="35" ht="15.75" customHeight="1">
      <c r="A35" s="30" t="s">
        <v>15</v>
      </c>
      <c r="B35" s="30" t="s">
        <v>56</v>
      </c>
      <c r="C35" s="30" t="s">
        <v>204</v>
      </c>
      <c r="D35" s="30" t="s">
        <v>57</v>
      </c>
      <c r="E35" s="30" t="s">
        <v>58</v>
      </c>
      <c r="F35" s="30" t="s">
        <v>19</v>
      </c>
      <c r="G35" s="5">
        <v>0.0</v>
      </c>
      <c r="H35" s="30">
        <v>0.0</v>
      </c>
      <c r="I35" s="6">
        <v>0.17</v>
      </c>
      <c r="J35" s="30">
        <v>1562.0</v>
      </c>
    </row>
    <row r="36" ht="15.75" customHeight="1">
      <c r="A36" s="30" t="s">
        <v>15</v>
      </c>
      <c r="B36" s="30" t="s">
        <v>60</v>
      </c>
      <c r="C36" s="30" t="s">
        <v>204</v>
      </c>
      <c r="D36" s="30" t="s">
        <v>61</v>
      </c>
      <c r="E36" s="30" t="s">
        <v>62</v>
      </c>
      <c r="F36" s="30" t="s">
        <v>19</v>
      </c>
      <c r="G36" s="5">
        <v>0.0</v>
      </c>
      <c r="H36" s="30">
        <v>0.0</v>
      </c>
      <c r="I36" s="6">
        <v>0.17</v>
      </c>
      <c r="J36" s="30">
        <v>1545.0</v>
      </c>
    </row>
    <row r="37" ht="15.75" customHeight="1">
      <c r="A37" s="30" t="s">
        <v>15</v>
      </c>
      <c r="B37" s="30" t="s">
        <v>155</v>
      </c>
      <c r="C37" s="30" t="s">
        <v>204</v>
      </c>
      <c r="D37" s="30" t="s">
        <v>156</v>
      </c>
      <c r="E37" s="30" t="s">
        <v>155</v>
      </c>
      <c r="F37" s="30" t="s">
        <v>126</v>
      </c>
      <c r="G37" s="5">
        <v>0.0</v>
      </c>
      <c r="H37" s="30">
        <v>0.0</v>
      </c>
      <c r="I37" s="6">
        <v>0.27</v>
      </c>
      <c r="J37" s="30">
        <v>950.0</v>
      </c>
    </row>
    <row r="38" ht="15.75" customHeight="1">
      <c r="A38" s="30" t="s">
        <v>15</v>
      </c>
      <c r="B38" s="30" t="s">
        <v>64</v>
      </c>
      <c r="C38" s="30" t="s">
        <v>23</v>
      </c>
      <c r="D38" s="30" t="s">
        <v>65</v>
      </c>
      <c r="E38" s="30" t="s">
        <v>66</v>
      </c>
      <c r="F38" s="30" t="s">
        <v>19</v>
      </c>
      <c r="G38" s="5">
        <v>0.0</v>
      </c>
      <c r="H38" s="30">
        <v>0.0</v>
      </c>
      <c r="I38" s="6">
        <v>0.39</v>
      </c>
      <c r="J38" s="30">
        <v>780.0</v>
      </c>
    </row>
    <row r="39" ht="15.75" customHeight="1">
      <c r="A39" s="30" t="s">
        <v>15</v>
      </c>
      <c r="B39" s="30" t="s">
        <v>67</v>
      </c>
      <c r="C39" s="30" t="s">
        <v>204</v>
      </c>
      <c r="D39" s="30" t="s">
        <v>68</v>
      </c>
      <c r="E39" s="30" t="s">
        <v>69</v>
      </c>
      <c r="F39" s="30" t="s">
        <v>19</v>
      </c>
      <c r="G39" s="5">
        <v>0.0</v>
      </c>
      <c r="H39" s="30">
        <v>0.0</v>
      </c>
      <c r="I39" s="6">
        <v>0.0</v>
      </c>
      <c r="J39" s="30">
        <v>850.0</v>
      </c>
    </row>
    <row r="40" ht="15.75" customHeight="1">
      <c r="A40" s="30" t="s">
        <v>15</v>
      </c>
      <c r="B40" s="30" t="s">
        <v>157</v>
      </c>
      <c r="C40" s="30" t="s">
        <v>204</v>
      </c>
      <c r="D40" s="30" t="s">
        <v>158</v>
      </c>
      <c r="E40" s="30" t="s">
        <v>157</v>
      </c>
      <c r="F40" s="30" t="s">
        <v>126</v>
      </c>
      <c r="G40" s="5">
        <v>0.0</v>
      </c>
      <c r="H40" s="30">
        <v>0.0</v>
      </c>
      <c r="I40" s="6">
        <v>0.14</v>
      </c>
      <c r="J40" s="30">
        <v>1400.0</v>
      </c>
    </row>
    <row r="41" ht="15.75" customHeight="1">
      <c r="A41" s="30" t="s">
        <v>15</v>
      </c>
      <c r="B41" s="30" t="s">
        <v>70</v>
      </c>
      <c r="C41" s="30" t="s">
        <v>204</v>
      </c>
      <c r="D41" s="30" t="s">
        <v>71</v>
      </c>
      <c r="E41" s="30">
        <v>4.05090006E8</v>
      </c>
      <c r="F41" s="30" t="s">
        <v>19</v>
      </c>
      <c r="G41" s="5">
        <v>0.0</v>
      </c>
      <c r="H41" s="30">
        <v>0.0</v>
      </c>
      <c r="I41" s="6">
        <v>0.12</v>
      </c>
      <c r="J41" s="30">
        <v>2240.0</v>
      </c>
    </row>
    <row r="42" ht="15.75" customHeight="1">
      <c r="A42" s="30" t="s">
        <v>15</v>
      </c>
      <c r="B42" s="30" t="s">
        <v>159</v>
      </c>
      <c r="C42" s="30" t="s">
        <v>23</v>
      </c>
      <c r="D42" s="30" t="s">
        <v>160</v>
      </c>
      <c r="E42" s="30" t="s">
        <v>159</v>
      </c>
      <c r="F42" s="30" t="s">
        <v>126</v>
      </c>
      <c r="G42" s="5">
        <v>0.0</v>
      </c>
      <c r="H42" s="30">
        <v>0.0</v>
      </c>
      <c r="I42" s="6">
        <v>0.0</v>
      </c>
      <c r="J42" s="30">
        <v>1400.0</v>
      </c>
    </row>
    <row r="43" ht="15.75" customHeight="1">
      <c r="A43" s="30" t="s">
        <v>15</v>
      </c>
      <c r="B43" s="30" t="s">
        <v>72</v>
      </c>
      <c r="C43" s="30" t="s">
        <v>23</v>
      </c>
      <c r="D43" s="30" t="s">
        <v>73</v>
      </c>
      <c r="E43" s="30" t="s">
        <v>74</v>
      </c>
      <c r="F43" s="30" t="s">
        <v>19</v>
      </c>
      <c r="G43" s="5">
        <v>0.0</v>
      </c>
      <c r="H43" s="30">
        <v>10626.0</v>
      </c>
      <c r="I43" s="6">
        <v>0.2</v>
      </c>
      <c r="J43" s="30">
        <v>1518.0</v>
      </c>
    </row>
    <row r="44" ht="15.75" customHeight="1">
      <c r="A44" s="30" t="s">
        <v>15</v>
      </c>
      <c r="B44" s="30" t="s">
        <v>161</v>
      </c>
      <c r="C44" s="30" t="s">
        <v>23</v>
      </c>
      <c r="D44" s="30" t="s">
        <v>162</v>
      </c>
      <c r="E44" s="30" t="s">
        <v>161</v>
      </c>
      <c r="F44" s="30" t="s">
        <v>126</v>
      </c>
      <c r="G44" s="5">
        <v>0.0</v>
      </c>
      <c r="H44" s="30">
        <v>0.0</v>
      </c>
      <c r="I44" s="6">
        <v>0.17</v>
      </c>
      <c r="J44" s="30">
        <v>1400.0</v>
      </c>
    </row>
    <row r="45" ht="15.75" customHeight="1">
      <c r="A45" s="30" t="s">
        <v>15</v>
      </c>
      <c r="B45" s="30" t="s">
        <v>75</v>
      </c>
      <c r="C45" s="30" t="s">
        <v>23</v>
      </c>
      <c r="D45" s="30" t="s">
        <v>76</v>
      </c>
      <c r="E45" s="30" t="s">
        <v>77</v>
      </c>
      <c r="F45" s="30" t="s">
        <v>19</v>
      </c>
      <c r="G45" s="5">
        <v>0.0</v>
      </c>
      <c r="H45" s="30">
        <v>0.0</v>
      </c>
      <c r="I45" s="6">
        <v>0.18</v>
      </c>
      <c r="J45" s="30">
        <v>1302.0</v>
      </c>
    </row>
    <row r="46" ht="15.75" customHeight="1">
      <c r="A46" s="30" t="s">
        <v>15</v>
      </c>
      <c r="B46" s="30" t="s">
        <v>78</v>
      </c>
      <c r="C46" s="30" t="s">
        <v>204</v>
      </c>
      <c r="D46" s="30" t="s">
        <v>79</v>
      </c>
      <c r="E46" s="30" t="s">
        <v>80</v>
      </c>
      <c r="F46" s="30" t="s">
        <v>19</v>
      </c>
      <c r="G46" s="5">
        <v>0.0</v>
      </c>
      <c r="H46" s="30">
        <v>0.0</v>
      </c>
      <c r="I46" s="6">
        <v>0.35</v>
      </c>
      <c r="J46" s="30">
        <v>720.0</v>
      </c>
    </row>
    <row r="47" ht="15.75" customHeight="1">
      <c r="A47" s="30" t="s">
        <v>15</v>
      </c>
      <c r="B47" s="30" t="s">
        <v>81</v>
      </c>
      <c r="C47" s="30" t="s">
        <v>204</v>
      </c>
      <c r="D47" s="30" t="s">
        <v>211</v>
      </c>
      <c r="E47" s="30" t="s">
        <v>83</v>
      </c>
      <c r="F47" s="30" t="s">
        <v>19</v>
      </c>
      <c r="G47" s="5">
        <v>0.0</v>
      </c>
      <c r="H47" s="30">
        <v>0.0</v>
      </c>
      <c r="I47" s="6">
        <v>0.15</v>
      </c>
      <c r="J47" s="30">
        <v>952.0</v>
      </c>
    </row>
    <row r="48" ht="15.75" customHeight="1">
      <c r="A48" s="30" t="s">
        <v>15</v>
      </c>
      <c r="B48" s="30" t="s">
        <v>84</v>
      </c>
      <c r="C48" s="30" t="s">
        <v>23</v>
      </c>
      <c r="D48" s="30" t="s">
        <v>85</v>
      </c>
      <c r="E48" s="30" t="s">
        <v>86</v>
      </c>
      <c r="F48" s="30" t="s">
        <v>19</v>
      </c>
      <c r="G48" s="5">
        <v>10000.0</v>
      </c>
      <c r="H48" s="30">
        <v>20584.0</v>
      </c>
      <c r="I48" s="6">
        <v>0.1</v>
      </c>
      <c r="J48" s="30">
        <v>1155.0</v>
      </c>
    </row>
    <row r="49" ht="15.75" customHeight="1">
      <c r="A49" s="30" t="s">
        <v>15</v>
      </c>
      <c r="B49" s="30" t="s">
        <v>163</v>
      </c>
      <c r="C49" s="30" t="s">
        <v>23</v>
      </c>
      <c r="D49" s="30" t="s">
        <v>164</v>
      </c>
      <c r="E49" s="30" t="s">
        <v>163</v>
      </c>
      <c r="F49" s="30" t="s">
        <v>126</v>
      </c>
      <c r="G49" s="5">
        <v>0.0</v>
      </c>
      <c r="H49" s="30">
        <v>0.0</v>
      </c>
      <c r="I49" s="6">
        <v>0.15</v>
      </c>
      <c r="J49" s="30">
        <v>750.0</v>
      </c>
    </row>
    <row r="50" ht="15.75" customHeight="1">
      <c r="A50" s="30" t="s">
        <v>15</v>
      </c>
      <c r="B50" s="30" t="s">
        <v>165</v>
      </c>
      <c r="C50" s="30" t="s">
        <v>204</v>
      </c>
      <c r="D50" s="30" t="s">
        <v>166</v>
      </c>
      <c r="E50" s="30" t="s">
        <v>165</v>
      </c>
      <c r="F50" s="30" t="s">
        <v>126</v>
      </c>
      <c r="G50" s="5">
        <v>0.0</v>
      </c>
      <c r="H50" s="30">
        <v>0.0</v>
      </c>
      <c r="I50" s="6">
        <v>0.0</v>
      </c>
      <c r="J50" s="30">
        <v>1300.0</v>
      </c>
    </row>
    <row r="51" ht="15.75" customHeight="1">
      <c r="A51" s="30" t="s">
        <v>15</v>
      </c>
      <c r="B51" s="30" t="s">
        <v>87</v>
      </c>
      <c r="C51" s="30" t="s">
        <v>204</v>
      </c>
      <c r="D51" s="30" t="s">
        <v>88</v>
      </c>
      <c r="E51" s="30" t="s">
        <v>89</v>
      </c>
      <c r="F51" s="30" t="s">
        <v>19</v>
      </c>
      <c r="G51" s="5">
        <v>0.0</v>
      </c>
      <c r="H51" s="30">
        <v>52274.0</v>
      </c>
      <c r="I51" s="6">
        <v>0.09</v>
      </c>
      <c r="J51" s="30">
        <v>1155.0</v>
      </c>
    </row>
    <row r="52" ht="15.75" customHeight="1">
      <c r="A52" s="30" t="s">
        <v>15</v>
      </c>
      <c r="B52" s="30" t="s">
        <v>91</v>
      </c>
      <c r="C52" s="30" t="s">
        <v>204</v>
      </c>
      <c r="D52" s="30" t="s">
        <v>92</v>
      </c>
      <c r="F52" s="30" t="s">
        <v>19</v>
      </c>
      <c r="G52" s="5">
        <v>0.0</v>
      </c>
      <c r="H52" s="30">
        <v>0.0</v>
      </c>
      <c r="I52" s="6">
        <v>0.11</v>
      </c>
    </row>
    <row r="53" ht="15.75" customHeight="1">
      <c r="A53" s="30" t="s">
        <v>15</v>
      </c>
      <c r="B53" s="30" t="s">
        <v>94</v>
      </c>
      <c r="C53" s="30" t="s">
        <v>204</v>
      </c>
      <c r="D53" s="30" t="s">
        <v>95</v>
      </c>
      <c r="E53" s="30" t="s">
        <v>96</v>
      </c>
      <c r="F53" s="30" t="s">
        <v>19</v>
      </c>
      <c r="G53" s="5">
        <v>0.0</v>
      </c>
      <c r="H53" s="30">
        <v>0.0</v>
      </c>
      <c r="I53" s="6">
        <v>0.2</v>
      </c>
      <c r="J53" s="30">
        <v>990.0</v>
      </c>
    </row>
    <row r="54" ht="15.75" customHeight="1">
      <c r="A54" s="30" t="s">
        <v>15</v>
      </c>
      <c r="B54" s="30" t="s">
        <v>167</v>
      </c>
      <c r="C54" s="30" t="s">
        <v>204</v>
      </c>
      <c r="D54" s="30" t="s">
        <v>168</v>
      </c>
      <c r="E54" s="30" t="s">
        <v>167</v>
      </c>
      <c r="F54" s="30" t="s">
        <v>126</v>
      </c>
      <c r="G54" s="5">
        <v>0.0</v>
      </c>
      <c r="H54" s="30">
        <v>39000.0</v>
      </c>
      <c r="I54" s="6">
        <v>0.15</v>
      </c>
      <c r="J54" s="30">
        <v>750.0</v>
      </c>
    </row>
    <row r="55" ht="15.75" customHeight="1">
      <c r="A55" s="30" t="s">
        <v>15</v>
      </c>
      <c r="B55" s="30" t="s">
        <v>169</v>
      </c>
      <c r="C55" s="30" t="s">
        <v>204</v>
      </c>
      <c r="D55" s="30" t="s">
        <v>170</v>
      </c>
      <c r="E55" s="30" t="s">
        <v>169</v>
      </c>
      <c r="F55" s="30" t="s">
        <v>126</v>
      </c>
      <c r="G55" s="5">
        <v>0.0</v>
      </c>
      <c r="H55" s="30">
        <v>0.0</v>
      </c>
      <c r="I55" s="6">
        <v>0.17</v>
      </c>
      <c r="J55" s="30">
        <v>750.0</v>
      </c>
    </row>
    <row r="56" ht="15.75" customHeight="1">
      <c r="A56" s="30" t="s">
        <v>15</v>
      </c>
      <c r="B56" s="30" t="s">
        <v>98</v>
      </c>
      <c r="C56" s="30" t="s">
        <v>204</v>
      </c>
      <c r="D56" s="30" t="s">
        <v>99</v>
      </c>
      <c r="E56" s="30" t="s">
        <v>100</v>
      </c>
      <c r="F56" s="30" t="s">
        <v>19</v>
      </c>
      <c r="G56" s="5">
        <v>0.0</v>
      </c>
      <c r="H56" s="30">
        <v>0.0</v>
      </c>
      <c r="I56" s="6">
        <v>0.16</v>
      </c>
      <c r="J56" s="30">
        <v>938.0</v>
      </c>
    </row>
    <row r="57" ht="15.75" customHeight="1">
      <c r="A57" s="30" t="s">
        <v>15</v>
      </c>
      <c r="B57" s="30" t="s">
        <v>101</v>
      </c>
      <c r="C57" s="30" t="s">
        <v>204</v>
      </c>
      <c r="D57" s="30" t="s">
        <v>102</v>
      </c>
      <c r="E57" s="30" t="s">
        <v>103</v>
      </c>
      <c r="F57" s="30" t="s">
        <v>19</v>
      </c>
      <c r="G57" s="5">
        <v>0.0</v>
      </c>
      <c r="H57" s="30">
        <v>0.0</v>
      </c>
      <c r="I57" s="6">
        <v>0.16</v>
      </c>
      <c r="J57" s="30">
        <v>924.0</v>
      </c>
    </row>
    <row r="58" ht="15.75" customHeight="1">
      <c r="A58" s="30" t="s">
        <v>15</v>
      </c>
      <c r="B58" s="30" t="s">
        <v>104</v>
      </c>
      <c r="C58" s="30" t="s">
        <v>204</v>
      </c>
      <c r="D58" s="30" t="s">
        <v>105</v>
      </c>
      <c r="E58" s="30" t="s">
        <v>106</v>
      </c>
      <c r="F58" s="30" t="s">
        <v>19</v>
      </c>
      <c r="G58" s="5">
        <v>0.0</v>
      </c>
      <c r="H58" s="30">
        <v>0.0</v>
      </c>
      <c r="I58" s="6">
        <v>0.14</v>
      </c>
      <c r="J58" s="30">
        <v>1176.0</v>
      </c>
    </row>
    <row r="59" ht="15.75" customHeight="1">
      <c r="A59" s="30" t="s">
        <v>15</v>
      </c>
      <c r="B59" s="30" t="s">
        <v>107</v>
      </c>
      <c r="C59" s="30" t="s">
        <v>204</v>
      </c>
      <c r="D59" s="30" t="s">
        <v>108</v>
      </c>
      <c r="E59" s="30" t="s">
        <v>109</v>
      </c>
      <c r="F59" s="30" t="s">
        <v>19</v>
      </c>
      <c r="G59" s="5">
        <v>125544.0</v>
      </c>
      <c r="H59" s="30">
        <v>153768.0</v>
      </c>
      <c r="I59" s="6">
        <v>0.11</v>
      </c>
      <c r="J59" s="30">
        <v>1176.0</v>
      </c>
    </row>
    <row r="60" ht="15.75" customHeight="1">
      <c r="A60" s="30" t="s">
        <v>15</v>
      </c>
      <c r="B60" s="30" t="s">
        <v>110</v>
      </c>
      <c r="C60" s="30" t="s">
        <v>204</v>
      </c>
      <c r="D60" s="30" t="s">
        <v>111</v>
      </c>
      <c r="E60" s="30" t="s">
        <v>112</v>
      </c>
      <c r="F60" s="30" t="s">
        <v>19</v>
      </c>
      <c r="G60" s="5">
        <v>0.0</v>
      </c>
      <c r="H60" s="30">
        <v>1134.0</v>
      </c>
      <c r="I60" s="6">
        <v>0.33</v>
      </c>
      <c r="J60" s="30">
        <v>567.0</v>
      </c>
    </row>
    <row r="61" ht="15.75" customHeight="1">
      <c r="A61" s="30" t="s">
        <v>15</v>
      </c>
      <c r="B61" s="30" t="s">
        <v>171</v>
      </c>
      <c r="C61" s="30" t="s">
        <v>204</v>
      </c>
      <c r="D61" s="30" t="s">
        <v>172</v>
      </c>
      <c r="E61" s="30" t="s">
        <v>173</v>
      </c>
      <c r="F61" s="30" t="s">
        <v>126</v>
      </c>
      <c r="G61" s="5">
        <v>4705.0</v>
      </c>
      <c r="H61" s="30">
        <v>4705.0</v>
      </c>
      <c r="I61" s="6">
        <v>0.12</v>
      </c>
      <c r="J61" s="30">
        <v>770.0</v>
      </c>
    </row>
    <row r="62" ht="15.75" customHeight="1">
      <c r="A62" s="30" t="s">
        <v>15</v>
      </c>
      <c r="B62" s="30" t="s">
        <v>174</v>
      </c>
      <c r="C62" s="30" t="s">
        <v>204</v>
      </c>
      <c r="D62" s="30" t="s">
        <v>175</v>
      </c>
      <c r="E62" s="30" t="s">
        <v>215</v>
      </c>
      <c r="F62" s="30" t="s">
        <v>126</v>
      </c>
      <c r="G62" s="5">
        <v>0.0</v>
      </c>
      <c r="H62" s="30">
        <v>20000.0</v>
      </c>
      <c r="I62" s="6">
        <v>0.31</v>
      </c>
      <c r="J62" s="30">
        <v>500.0</v>
      </c>
    </row>
    <row r="63" ht="15.75" customHeight="1">
      <c r="A63" s="30" t="s">
        <v>15</v>
      </c>
      <c r="B63" s="30" t="s">
        <v>113</v>
      </c>
      <c r="C63" s="30" t="s">
        <v>204</v>
      </c>
      <c r="D63" s="30" t="s">
        <v>114</v>
      </c>
      <c r="E63" s="30" t="s">
        <v>115</v>
      </c>
      <c r="F63" s="30" t="s">
        <v>19</v>
      </c>
      <c r="G63" s="5">
        <v>0.0</v>
      </c>
      <c r="H63" s="30">
        <v>0.0</v>
      </c>
      <c r="I63" s="6">
        <v>0.26</v>
      </c>
      <c r="J63" s="30">
        <v>765.0</v>
      </c>
    </row>
    <row r="64" ht="15.75" customHeight="1">
      <c r="A64" s="30" t="s">
        <v>15</v>
      </c>
      <c r="B64" s="30" t="s">
        <v>116</v>
      </c>
      <c r="C64" s="30" t="s">
        <v>204</v>
      </c>
      <c r="D64" s="30" t="s">
        <v>117</v>
      </c>
      <c r="E64" s="30" t="s">
        <v>118</v>
      </c>
      <c r="F64" s="30" t="s">
        <v>19</v>
      </c>
      <c r="G64" s="5">
        <v>0.0</v>
      </c>
      <c r="H64" s="30">
        <v>3465.0</v>
      </c>
      <c r="I64" s="6">
        <v>0.0</v>
      </c>
      <c r="J64" s="30">
        <v>1155.0</v>
      </c>
    </row>
    <row r="65" ht="15.75" customHeight="1">
      <c r="A65" s="30" t="s">
        <v>15</v>
      </c>
      <c r="B65" s="30" t="s">
        <v>177</v>
      </c>
      <c r="C65" s="30" t="s">
        <v>204</v>
      </c>
      <c r="D65" s="30" t="s">
        <v>178</v>
      </c>
      <c r="E65" s="30" t="s">
        <v>177</v>
      </c>
      <c r="F65" s="30" t="s">
        <v>126</v>
      </c>
      <c r="G65" s="5">
        <v>0.0</v>
      </c>
      <c r="H65" s="30">
        <v>137800.0</v>
      </c>
      <c r="I65" s="6">
        <v>0.1</v>
      </c>
      <c r="J65" s="30">
        <v>1300.0</v>
      </c>
    </row>
    <row r="66" ht="15.75" customHeight="1">
      <c r="A66" s="30" t="s">
        <v>15</v>
      </c>
      <c r="B66" s="30" t="s">
        <v>119</v>
      </c>
      <c r="C66" s="30" t="s">
        <v>23</v>
      </c>
      <c r="D66" s="30" t="s">
        <v>120</v>
      </c>
      <c r="E66" s="30">
        <v>4.10060005E8</v>
      </c>
      <c r="F66" s="30" t="s">
        <v>19</v>
      </c>
      <c r="G66" s="5">
        <v>0.0</v>
      </c>
      <c r="H66" s="30">
        <v>0.0</v>
      </c>
      <c r="I66" s="6">
        <v>0.21</v>
      </c>
      <c r="J66" s="30">
        <v>868.0</v>
      </c>
    </row>
    <row r="67" ht="15.75" customHeight="1">
      <c r="A67" s="30" t="s">
        <v>15</v>
      </c>
      <c r="B67" s="30" t="s">
        <v>179</v>
      </c>
      <c r="C67" s="30" t="s">
        <v>204</v>
      </c>
      <c r="D67" s="30" t="s">
        <v>180</v>
      </c>
      <c r="E67" s="30" t="s">
        <v>179</v>
      </c>
      <c r="F67" s="30" t="s">
        <v>126</v>
      </c>
      <c r="G67" s="5">
        <v>0.0</v>
      </c>
      <c r="H67" s="30">
        <v>0.0</v>
      </c>
      <c r="I67" s="6">
        <v>0.16</v>
      </c>
      <c r="J67" s="30">
        <v>800.0</v>
      </c>
    </row>
    <row r="68" ht="15.75" customHeight="1">
      <c r="A68" s="30" t="s">
        <v>15</v>
      </c>
      <c r="B68" s="30" t="s">
        <v>121</v>
      </c>
      <c r="C68" s="30" t="s">
        <v>204</v>
      </c>
      <c r="D68" s="30" t="s">
        <v>122</v>
      </c>
      <c r="E68" s="30" t="s">
        <v>123</v>
      </c>
      <c r="F68" s="30" t="s">
        <v>19</v>
      </c>
      <c r="G68" s="5">
        <v>10650.0</v>
      </c>
      <c r="H68" s="30">
        <v>10650.0</v>
      </c>
      <c r="I68" s="6">
        <v>0.18</v>
      </c>
      <c r="J68" s="30">
        <v>660.0</v>
      </c>
    </row>
    <row r="69" ht="15.75" customHeight="1">
      <c r="A69" s="30" t="s">
        <v>15</v>
      </c>
      <c r="B69" s="30" t="s">
        <v>181</v>
      </c>
      <c r="C69" s="30" t="s">
        <v>204</v>
      </c>
      <c r="D69" s="30" t="s">
        <v>182</v>
      </c>
      <c r="E69" s="30" t="s">
        <v>181</v>
      </c>
      <c r="F69" s="30" t="s">
        <v>126</v>
      </c>
      <c r="G69" s="5">
        <v>0.0</v>
      </c>
      <c r="H69" s="30">
        <v>0.0</v>
      </c>
      <c r="I69" s="6">
        <v>0.14</v>
      </c>
      <c r="J69" s="30">
        <v>1300.0</v>
      </c>
    </row>
    <row r="70" ht="15.75" customHeight="1">
      <c r="G70" s="5"/>
      <c r="I70" s="6"/>
    </row>
    <row r="71" ht="15.75" customHeight="1">
      <c r="G71" s="5"/>
      <c r="I71" s="6"/>
    </row>
    <row r="72" ht="15.75" customHeight="1">
      <c r="G72" s="5"/>
      <c r="I72" s="6"/>
    </row>
    <row r="73" ht="15.75" customHeight="1">
      <c r="G73" s="5"/>
      <c r="I73" s="6"/>
    </row>
    <row r="74" ht="15.75" customHeight="1">
      <c r="G74" s="5"/>
      <c r="I74" s="6"/>
    </row>
    <row r="75" ht="15.75" customHeight="1">
      <c r="G75" s="5"/>
      <c r="I75" s="6"/>
    </row>
    <row r="76" ht="15.75" customHeight="1">
      <c r="G76" s="5"/>
      <c r="I76" s="6"/>
    </row>
    <row r="77" ht="15.75" customHeight="1">
      <c r="G77" s="5"/>
      <c r="I77" s="6"/>
    </row>
    <row r="78" ht="15.75" customHeight="1">
      <c r="G78" s="5"/>
      <c r="I78" s="6"/>
    </row>
    <row r="79" ht="15.75" customHeight="1">
      <c r="G79" s="5"/>
      <c r="I79" s="6"/>
    </row>
    <row r="80" ht="15.75" customHeight="1">
      <c r="G80" s="5"/>
      <c r="I80" s="6"/>
    </row>
    <row r="81" ht="15.75" customHeight="1">
      <c r="G81" s="5"/>
      <c r="I81" s="6"/>
    </row>
    <row r="82" ht="15.75" customHeight="1">
      <c r="G82" s="5"/>
      <c r="I82" s="6"/>
    </row>
    <row r="83" ht="15.75" customHeight="1">
      <c r="G83" s="5"/>
      <c r="I83" s="6"/>
    </row>
    <row r="84" ht="15.75" customHeight="1">
      <c r="G84" s="5"/>
      <c r="I84" s="6"/>
    </row>
    <row r="85" ht="15.75" customHeight="1">
      <c r="G85" s="5"/>
      <c r="I85" s="6"/>
    </row>
    <row r="86" ht="15.75" customHeight="1">
      <c r="G86" s="5"/>
      <c r="I86" s="6"/>
    </row>
    <row r="87" ht="15.75" customHeight="1">
      <c r="G87" s="5"/>
      <c r="I87" s="6"/>
    </row>
    <row r="88" ht="15.75" customHeight="1">
      <c r="G88" s="5"/>
      <c r="I88" s="6"/>
    </row>
    <row r="89" ht="15.75" customHeight="1">
      <c r="G89" s="5"/>
      <c r="I89" s="6"/>
    </row>
    <row r="90" ht="15.75" customHeight="1">
      <c r="G90" s="5"/>
      <c r="I90" s="6"/>
    </row>
    <row r="91" ht="15.75" customHeight="1">
      <c r="G91" s="5"/>
      <c r="I91" s="6"/>
    </row>
    <row r="92" ht="15.75" customHeight="1">
      <c r="G92" s="5"/>
      <c r="I92" s="6"/>
    </row>
    <row r="93" ht="15.75" customHeight="1">
      <c r="G93" s="5"/>
      <c r="I93" s="6"/>
    </row>
    <row r="94" ht="15.75" customHeight="1">
      <c r="G94" s="5"/>
      <c r="I94" s="6"/>
    </row>
    <row r="95" ht="15.75" customHeight="1">
      <c r="G95" s="5"/>
      <c r="I95" s="6"/>
    </row>
    <row r="96" ht="15.75" customHeight="1">
      <c r="G96" s="5"/>
      <c r="I96" s="6"/>
    </row>
    <row r="97" ht="15.75" customHeight="1">
      <c r="G97" s="5"/>
      <c r="I97" s="6"/>
    </row>
    <row r="98" ht="15.75" customHeight="1">
      <c r="G98" s="5"/>
      <c r="I98" s="6"/>
    </row>
    <row r="99" ht="15.75" customHeight="1">
      <c r="G99" s="5"/>
      <c r="I99" s="6"/>
    </row>
    <row r="100" ht="15.75" customHeight="1">
      <c r="G100" s="5"/>
      <c r="I100" s="6"/>
    </row>
    <row r="101" ht="15.75" customHeight="1">
      <c r="G101" s="5"/>
      <c r="I101" s="6"/>
    </row>
    <row r="102" ht="15.75" customHeight="1">
      <c r="G102" s="5"/>
      <c r="I102" s="6"/>
    </row>
    <row r="103" ht="15.75" customHeight="1">
      <c r="G103" s="5"/>
      <c r="I103" s="6"/>
    </row>
    <row r="104" ht="15.75" customHeight="1">
      <c r="G104" s="5"/>
      <c r="I104" s="6"/>
    </row>
    <row r="105" ht="15.75" customHeight="1">
      <c r="G105" s="5"/>
      <c r="I105" s="6"/>
    </row>
    <row r="106" ht="15.75" customHeight="1">
      <c r="G106" s="5"/>
      <c r="I106" s="6"/>
    </row>
    <row r="107" ht="15.75" customHeight="1">
      <c r="G107" s="5"/>
      <c r="I107" s="6"/>
    </row>
    <row r="108" ht="15.75" customHeight="1">
      <c r="G108" s="5"/>
      <c r="I108" s="6"/>
    </row>
    <row r="109" ht="15.75" customHeight="1">
      <c r="G109" s="5"/>
      <c r="I109" s="6"/>
    </row>
    <row r="110" ht="15.75" customHeight="1">
      <c r="G110" s="5"/>
      <c r="I110" s="6"/>
    </row>
    <row r="111" ht="15.75" customHeight="1">
      <c r="G111" s="5"/>
      <c r="I111" s="6"/>
    </row>
    <row r="112" ht="15.75" customHeight="1">
      <c r="G112" s="5"/>
      <c r="I112" s="6"/>
    </row>
    <row r="113" ht="15.75" customHeight="1">
      <c r="G113" s="5"/>
      <c r="I113" s="6"/>
    </row>
    <row r="114" ht="15.75" customHeight="1">
      <c r="G114" s="5"/>
      <c r="I114" s="6"/>
    </row>
    <row r="115" ht="15.75" customHeight="1">
      <c r="G115" s="5"/>
      <c r="I115" s="6"/>
    </row>
    <row r="116" ht="15.75" customHeight="1">
      <c r="G116" s="5"/>
      <c r="I116" s="6"/>
    </row>
    <row r="117" ht="15.75" customHeight="1">
      <c r="G117" s="5"/>
      <c r="I117" s="6"/>
    </row>
    <row r="118" ht="15.75" customHeight="1">
      <c r="G118" s="5"/>
      <c r="I118" s="6"/>
    </row>
    <row r="119" ht="15.75" customHeight="1">
      <c r="G119" s="5"/>
      <c r="I119" s="6"/>
    </row>
    <row r="120" ht="15.75" customHeight="1">
      <c r="G120" s="5"/>
      <c r="I120" s="6"/>
    </row>
    <row r="121" ht="15.75" customHeight="1">
      <c r="G121" s="5"/>
      <c r="I121" s="6"/>
    </row>
    <row r="122" ht="15.75" customHeight="1">
      <c r="G122" s="5"/>
      <c r="I122" s="6"/>
    </row>
    <row r="123" ht="15.75" customHeight="1">
      <c r="G123" s="5"/>
      <c r="I123" s="6"/>
    </row>
    <row r="124" ht="15.75" customHeight="1">
      <c r="G124" s="5"/>
      <c r="I124" s="6"/>
    </row>
    <row r="125" ht="15.75" customHeight="1">
      <c r="G125" s="5"/>
      <c r="I125" s="6"/>
    </row>
    <row r="126" ht="15.75" customHeight="1">
      <c r="G126" s="5"/>
      <c r="I126" s="6"/>
    </row>
    <row r="127" ht="15.75" customHeight="1">
      <c r="G127" s="5"/>
      <c r="I127" s="6"/>
    </row>
    <row r="128" ht="15.75" customHeight="1">
      <c r="G128" s="5"/>
      <c r="I128" s="6"/>
    </row>
    <row r="129" ht="15.75" customHeight="1">
      <c r="G129" s="5"/>
      <c r="I129" s="6"/>
    </row>
    <row r="130" ht="15.75" customHeight="1">
      <c r="G130" s="5"/>
      <c r="I130" s="6"/>
    </row>
    <row r="131" ht="15.75" customHeight="1">
      <c r="G131" s="5"/>
      <c r="I131" s="6"/>
    </row>
    <row r="132" ht="15.75" customHeight="1">
      <c r="G132" s="5"/>
      <c r="I132" s="6"/>
    </row>
    <row r="133" ht="15.75" customHeight="1">
      <c r="G133" s="5"/>
      <c r="I133" s="6"/>
    </row>
    <row r="134" ht="15.75" customHeight="1">
      <c r="G134" s="5"/>
      <c r="I134" s="6"/>
    </row>
    <row r="135" ht="15.75" customHeight="1">
      <c r="G135" s="5"/>
      <c r="I135" s="6"/>
    </row>
    <row r="136" ht="15.75" customHeight="1">
      <c r="G136" s="5"/>
      <c r="I136" s="6"/>
    </row>
    <row r="137" ht="15.75" customHeight="1">
      <c r="G137" s="5"/>
      <c r="I137" s="6"/>
    </row>
    <row r="138" ht="15.75" customHeight="1">
      <c r="G138" s="5"/>
      <c r="I138" s="6"/>
    </row>
    <row r="139" ht="15.75" customHeight="1">
      <c r="G139" s="5"/>
      <c r="I139" s="6"/>
    </row>
    <row r="140" ht="15.75" customHeight="1">
      <c r="G140" s="5"/>
      <c r="I140" s="6"/>
    </row>
    <row r="141" ht="15.75" customHeight="1">
      <c r="G141" s="5"/>
      <c r="I141" s="6"/>
    </row>
    <row r="142" ht="15.75" customHeight="1">
      <c r="G142" s="5"/>
      <c r="I142" s="6"/>
    </row>
    <row r="143" ht="15.75" customHeight="1">
      <c r="G143" s="5"/>
      <c r="I143" s="6"/>
    </row>
    <row r="144" ht="15.75" customHeight="1">
      <c r="G144" s="5"/>
      <c r="I144" s="6"/>
    </row>
    <row r="145" ht="15.75" customHeight="1">
      <c r="G145" s="5"/>
      <c r="I145" s="6"/>
    </row>
    <row r="146" ht="15.75" customHeight="1">
      <c r="G146" s="5"/>
      <c r="I146" s="6"/>
    </row>
    <row r="147" ht="15.75" customHeight="1">
      <c r="G147" s="5"/>
      <c r="I147" s="6"/>
    </row>
    <row r="148" ht="15.75" customHeight="1">
      <c r="G148" s="5"/>
      <c r="I148" s="6"/>
    </row>
    <row r="149" ht="15.75" customHeight="1">
      <c r="G149" s="5"/>
      <c r="I149" s="6"/>
    </row>
    <row r="150" ht="15.75" customHeight="1">
      <c r="G150" s="5"/>
      <c r="I150" s="6"/>
    </row>
    <row r="151" ht="15.75" customHeight="1">
      <c r="G151" s="5"/>
      <c r="I151" s="6"/>
    </row>
    <row r="152" ht="15.75" customHeight="1">
      <c r="G152" s="5"/>
      <c r="I152" s="6"/>
    </row>
    <row r="153" ht="15.75" customHeight="1">
      <c r="G153" s="5"/>
      <c r="I153" s="6"/>
    </row>
    <row r="154" ht="15.75" customHeight="1">
      <c r="G154" s="5"/>
      <c r="I154" s="6"/>
    </row>
    <row r="155" ht="15.75" customHeight="1">
      <c r="G155" s="5"/>
      <c r="I155" s="6"/>
    </row>
    <row r="156" ht="15.75" customHeight="1">
      <c r="G156" s="5"/>
      <c r="I156" s="6"/>
    </row>
    <row r="157" ht="15.75" customHeight="1">
      <c r="G157" s="5"/>
      <c r="I157" s="6"/>
    </row>
    <row r="158" ht="15.75" customHeight="1">
      <c r="G158" s="5"/>
      <c r="I158" s="6"/>
    </row>
    <row r="159" ht="15.75" customHeight="1">
      <c r="G159" s="5"/>
      <c r="I159" s="6"/>
    </row>
    <row r="160" ht="15.75" customHeight="1">
      <c r="G160" s="5"/>
      <c r="I160" s="6"/>
    </row>
    <row r="161" ht="15.75" customHeight="1">
      <c r="G161" s="5"/>
      <c r="I161" s="6"/>
    </row>
    <row r="162" ht="15.75" customHeight="1">
      <c r="G162" s="5"/>
      <c r="I162" s="6"/>
    </row>
    <row r="163" ht="15.75" customHeight="1">
      <c r="G163" s="5"/>
      <c r="I163" s="6"/>
    </row>
    <row r="164" ht="15.75" customHeight="1">
      <c r="G164" s="5"/>
      <c r="I164" s="6"/>
    </row>
    <row r="165" ht="15.75" customHeight="1">
      <c r="G165" s="5"/>
      <c r="I165" s="6"/>
    </row>
    <row r="166" ht="15.75" customHeight="1">
      <c r="G166" s="5"/>
      <c r="I166" s="6"/>
    </row>
    <row r="167" ht="15.75" customHeight="1">
      <c r="G167" s="5"/>
      <c r="I167" s="6"/>
    </row>
    <row r="168" ht="15.75" customHeight="1">
      <c r="G168" s="5"/>
      <c r="I168" s="6"/>
    </row>
    <row r="169" ht="15.75" customHeight="1">
      <c r="G169" s="5"/>
      <c r="I169" s="6"/>
    </row>
    <row r="170" ht="15.75" customHeight="1">
      <c r="G170" s="5"/>
      <c r="I170" s="6"/>
    </row>
    <row r="171" ht="15.75" customHeight="1">
      <c r="G171" s="5"/>
      <c r="I171" s="6"/>
    </row>
    <row r="172" ht="15.75" customHeight="1">
      <c r="G172" s="5"/>
      <c r="I172" s="6"/>
    </row>
    <row r="173" ht="15.75" customHeight="1">
      <c r="G173" s="5"/>
      <c r="I173" s="6"/>
    </row>
    <row r="174" ht="15.75" customHeight="1">
      <c r="G174" s="5"/>
      <c r="I174" s="6"/>
    </row>
    <row r="175" ht="15.75" customHeight="1">
      <c r="G175" s="5"/>
      <c r="I175" s="6"/>
    </row>
    <row r="176" ht="15.75" customHeight="1">
      <c r="G176" s="5"/>
      <c r="I176" s="6"/>
    </row>
    <row r="177" ht="15.75" customHeight="1">
      <c r="G177" s="5"/>
      <c r="I177" s="6"/>
    </row>
    <row r="178" ht="15.75" customHeight="1">
      <c r="G178" s="5"/>
      <c r="I178" s="6"/>
    </row>
    <row r="179" ht="15.75" customHeight="1">
      <c r="G179" s="5"/>
      <c r="I179" s="6"/>
    </row>
    <row r="180" ht="15.75" customHeight="1">
      <c r="G180" s="5"/>
      <c r="I180" s="6"/>
    </row>
    <row r="181" ht="15.75" customHeight="1">
      <c r="G181" s="5"/>
      <c r="I181" s="6"/>
    </row>
    <row r="182" ht="15.75" customHeight="1">
      <c r="G182" s="5"/>
      <c r="I182" s="6"/>
    </row>
    <row r="183" ht="15.75" customHeight="1">
      <c r="G183" s="5"/>
      <c r="I183" s="6"/>
    </row>
    <row r="184" ht="15.75" customHeight="1">
      <c r="G184" s="5"/>
      <c r="I184" s="6"/>
    </row>
    <row r="185" ht="15.75" customHeight="1">
      <c r="G185" s="5"/>
      <c r="I185" s="6"/>
    </row>
    <row r="186" ht="15.75" customHeight="1">
      <c r="G186" s="5"/>
      <c r="I186" s="6"/>
    </row>
    <row r="187" ht="15.75" customHeight="1">
      <c r="G187" s="5"/>
      <c r="I187" s="6"/>
    </row>
    <row r="188" ht="15.75" customHeight="1">
      <c r="G188" s="5"/>
      <c r="I188" s="6"/>
    </row>
    <row r="189" ht="15.75" customHeight="1">
      <c r="G189" s="5"/>
      <c r="I189" s="6"/>
    </row>
    <row r="190" ht="15.75" customHeight="1">
      <c r="G190" s="5"/>
      <c r="I190" s="6"/>
    </row>
    <row r="191" ht="15.75" customHeight="1">
      <c r="G191" s="5"/>
      <c r="I191" s="6"/>
    </row>
    <row r="192" ht="15.75" customHeight="1">
      <c r="G192" s="5"/>
      <c r="I192" s="6"/>
    </row>
    <row r="193" ht="15.75" customHeight="1">
      <c r="G193" s="5"/>
      <c r="I193" s="6"/>
    </row>
    <row r="194" ht="15.75" customHeight="1">
      <c r="G194" s="5"/>
      <c r="I194" s="6"/>
    </row>
    <row r="195" ht="15.75" customHeight="1">
      <c r="G195" s="5"/>
      <c r="I195" s="6"/>
    </row>
    <row r="196" ht="15.75" customHeight="1">
      <c r="G196" s="5"/>
      <c r="I196" s="6"/>
    </row>
    <row r="197" ht="15.75" customHeight="1">
      <c r="G197" s="5"/>
      <c r="I197" s="6"/>
    </row>
    <row r="198" ht="15.75" customHeight="1">
      <c r="G198" s="5"/>
      <c r="I198" s="6"/>
    </row>
    <row r="199" ht="15.75" customHeight="1">
      <c r="G199" s="5"/>
      <c r="I199" s="6"/>
    </row>
    <row r="200" ht="15.75" customHeight="1">
      <c r="G200" s="5"/>
      <c r="I200" s="6"/>
    </row>
    <row r="201" ht="15.75" customHeight="1">
      <c r="G201" s="5"/>
      <c r="I201" s="6"/>
    </row>
    <row r="202" ht="15.75" customHeight="1">
      <c r="G202" s="5"/>
      <c r="I202" s="6"/>
    </row>
    <row r="203" ht="15.75" customHeight="1">
      <c r="G203" s="5"/>
      <c r="I203" s="6"/>
    </row>
    <row r="204" ht="15.75" customHeight="1">
      <c r="G204" s="5"/>
      <c r="I204" s="6"/>
    </row>
    <row r="205" ht="15.75" customHeight="1">
      <c r="G205" s="5"/>
      <c r="I205" s="6"/>
    </row>
    <row r="206" ht="15.75" customHeight="1">
      <c r="G206" s="5"/>
      <c r="I206" s="6"/>
    </row>
    <row r="207" ht="15.75" customHeight="1">
      <c r="G207" s="5"/>
      <c r="I207" s="6"/>
    </row>
    <row r="208" ht="15.75" customHeight="1">
      <c r="G208" s="5"/>
      <c r="I208" s="6"/>
    </row>
    <row r="209" ht="15.75" customHeight="1">
      <c r="G209" s="5"/>
      <c r="I209" s="6"/>
    </row>
    <row r="210" ht="15.75" customHeight="1">
      <c r="G210" s="5"/>
      <c r="I210" s="6"/>
    </row>
    <row r="211" ht="15.75" customHeight="1">
      <c r="G211" s="5"/>
      <c r="I211" s="6"/>
    </row>
    <row r="212" ht="15.75" customHeight="1">
      <c r="G212" s="5"/>
      <c r="I212" s="6"/>
    </row>
    <row r="213" ht="15.75" customHeight="1">
      <c r="G213" s="5"/>
      <c r="I213" s="6"/>
    </row>
    <row r="214" ht="15.75" customHeight="1">
      <c r="G214" s="5"/>
      <c r="I214" s="6"/>
    </row>
    <row r="215" ht="15.75" customHeight="1">
      <c r="G215" s="5"/>
      <c r="I215" s="6"/>
    </row>
    <row r="216" ht="15.75" customHeight="1">
      <c r="G216" s="5"/>
      <c r="I216" s="6"/>
    </row>
    <row r="217" ht="15.75" customHeight="1">
      <c r="G217" s="5"/>
      <c r="I217" s="6"/>
    </row>
    <row r="218" ht="15.75" customHeight="1">
      <c r="G218" s="5"/>
      <c r="I218" s="6"/>
    </row>
    <row r="219" ht="15.75" customHeight="1">
      <c r="G219" s="5"/>
      <c r="I219" s="6"/>
    </row>
    <row r="220" ht="15.75" customHeight="1">
      <c r="G220" s="5"/>
      <c r="I220" s="6"/>
    </row>
    <row r="221" ht="15.75" customHeight="1">
      <c r="G221" s="5"/>
      <c r="I221" s="6"/>
    </row>
    <row r="222" ht="15.75" customHeight="1">
      <c r="G222" s="5"/>
      <c r="I222" s="6"/>
    </row>
    <row r="223" ht="15.75" customHeight="1">
      <c r="G223" s="5"/>
      <c r="I223" s="6"/>
    </row>
    <row r="224" ht="15.75" customHeight="1">
      <c r="G224" s="5"/>
      <c r="I224" s="6"/>
    </row>
    <row r="225" ht="15.75" customHeight="1">
      <c r="G225" s="5"/>
      <c r="I225" s="6"/>
    </row>
    <row r="226" ht="15.75" customHeight="1">
      <c r="G226" s="5"/>
      <c r="I226" s="6"/>
    </row>
    <row r="227" ht="15.75" customHeight="1">
      <c r="G227" s="5"/>
      <c r="I227" s="6"/>
    </row>
    <row r="228" ht="15.75" customHeight="1">
      <c r="G228" s="5"/>
      <c r="I228" s="6"/>
    </row>
    <row r="229" ht="15.75" customHeight="1">
      <c r="G229" s="5"/>
      <c r="I229" s="6"/>
    </row>
    <row r="230" ht="15.75" customHeight="1">
      <c r="G230" s="5"/>
      <c r="I230" s="6"/>
    </row>
    <row r="231" ht="15.75" customHeight="1">
      <c r="G231" s="5"/>
      <c r="I231" s="6"/>
    </row>
    <row r="232" ht="15.75" customHeight="1">
      <c r="G232" s="5"/>
      <c r="I232" s="6"/>
    </row>
    <row r="233" ht="15.75" customHeight="1">
      <c r="G233" s="5"/>
      <c r="I233" s="6"/>
    </row>
    <row r="234" ht="15.75" customHeight="1">
      <c r="G234" s="5"/>
      <c r="I234" s="6"/>
    </row>
    <row r="235" ht="15.75" customHeight="1">
      <c r="G235" s="5"/>
      <c r="I235" s="6"/>
    </row>
    <row r="236" ht="15.75" customHeight="1">
      <c r="G236" s="5"/>
      <c r="I236" s="6"/>
    </row>
    <row r="237" ht="15.75" customHeight="1">
      <c r="G237" s="5"/>
      <c r="I237" s="6"/>
    </row>
    <row r="238" ht="15.75" customHeight="1">
      <c r="G238" s="5"/>
      <c r="I238" s="6"/>
    </row>
    <row r="239" ht="15.75" customHeight="1">
      <c r="G239" s="5"/>
      <c r="I239" s="6"/>
    </row>
    <row r="240" ht="15.75" customHeight="1">
      <c r="G240" s="5"/>
      <c r="I240" s="6"/>
    </row>
    <row r="241" ht="15.75" customHeight="1">
      <c r="G241" s="5"/>
      <c r="I241" s="6"/>
    </row>
    <row r="242" ht="15.75" customHeight="1">
      <c r="G242" s="5"/>
      <c r="I242" s="6"/>
    </row>
    <row r="243" ht="15.75" customHeight="1">
      <c r="G243" s="5"/>
      <c r="I243" s="6"/>
    </row>
    <row r="244" ht="15.75" customHeight="1">
      <c r="G244" s="5"/>
      <c r="I244" s="6"/>
    </row>
    <row r="245" ht="15.75" customHeight="1">
      <c r="G245" s="5"/>
      <c r="I245" s="6"/>
    </row>
    <row r="246" ht="15.75" customHeight="1">
      <c r="G246" s="5"/>
      <c r="I246" s="6"/>
    </row>
    <row r="247" ht="15.75" customHeight="1">
      <c r="G247" s="5"/>
      <c r="I247" s="6"/>
    </row>
    <row r="248" ht="15.75" customHeight="1">
      <c r="G248" s="5"/>
      <c r="I248" s="6"/>
    </row>
    <row r="249" ht="15.75" customHeight="1">
      <c r="G249" s="5"/>
      <c r="I249" s="6"/>
    </row>
    <row r="250" ht="15.75" customHeight="1">
      <c r="G250" s="5"/>
      <c r="I250" s="6"/>
    </row>
    <row r="251" ht="15.75" customHeight="1">
      <c r="G251" s="5"/>
      <c r="I251" s="6"/>
    </row>
    <row r="252" ht="15.75" customHeight="1">
      <c r="G252" s="5"/>
      <c r="I252" s="6"/>
    </row>
    <row r="253" ht="15.75" customHeight="1">
      <c r="G253" s="5"/>
      <c r="I253" s="6"/>
    </row>
    <row r="254" ht="15.75" customHeight="1">
      <c r="G254" s="5"/>
      <c r="I254" s="6"/>
    </row>
    <row r="255" ht="15.75" customHeight="1">
      <c r="G255" s="5"/>
      <c r="I255" s="6"/>
    </row>
    <row r="256" ht="15.75" customHeight="1">
      <c r="G256" s="5"/>
      <c r="I256" s="6"/>
    </row>
    <row r="257" ht="15.75" customHeight="1">
      <c r="G257" s="5"/>
      <c r="I257" s="6"/>
    </row>
    <row r="258" ht="15.75" customHeight="1">
      <c r="G258" s="5"/>
      <c r="I258" s="6"/>
    </row>
    <row r="259" ht="15.75" customHeight="1">
      <c r="G259" s="5"/>
      <c r="I259" s="6"/>
    </row>
    <row r="260" ht="15.75" customHeight="1">
      <c r="G260" s="5"/>
      <c r="I260" s="6"/>
    </row>
    <row r="261" ht="15.75" customHeight="1">
      <c r="G261" s="5"/>
      <c r="I261" s="6"/>
    </row>
    <row r="262" ht="15.75" customHeight="1">
      <c r="G262" s="5"/>
      <c r="I262" s="6"/>
    </row>
    <row r="263" ht="15.75" customHeight="1">
      <c r="G263" s="5"/>
      <c r="I263" s="6"/>
    </row>
    <row r="264" ht="15.75" customHeight="1">
      <c r="G264" s="5"/>
      <c r="I264" s="6"/>
    </row>
    <row r="265" ht="15.75" customHeight="1">
      <c r="G265" s="5"/>
      <c r="I265" s="6"/>
    </row>
    <row r="266" ht="15.75" customHeight="1">
      <c r="G266" s="5"/>
      <c r="I266" s="6"/>
    </row>
    <row r="267" ht="15.75" customHeight="1">
      <c r="G267" s="5"/>
      <c r="I267" s="6"/>
    </row>
    <row r="268" ht="15.75" customHeight="1">
      <c r="G268" s="5"/>
      <c r="I268" s="6"/>
    </row>
    <row r="269" ht="15.75" customHeight="1">
      <c r="G269" s="5"/>
      <c r="I269" s="6"/>
    </row>
    <row r="270" ht="15.75" customHeight="1">
      <c r="G270" s="5"/>
      <c r="I270" s="6"/>
    </row>
    <row r="271" ht="15.75" customHeight="1">
      <c r="G271" s="5"/>
      <c r="I271" s="6"/>
    </row>
    <row r="272" ht="15.75" customHeight="1">
      <c r="G272" s="5"/>
      <c r="I272" s="6"/>
    </row>
    <row r="273" ht="15.75" customHeight="1">
      <c r="G273" s="5"/>
      <c r="I273" s="6"/>
    </row>
    <row r="274" ht="15.75" customHeight="1">
      <c r="G274" s="5"/>
      <c r="I274" s="6"/>
    </row>
    <row r="275" ht="15.75" customHeight="1">
      <c r="G275" s="5"/>
      <c r="I275" s="6"/>
    </row>
    <row r="276" ht="15.75" customHeight="1">
      <c r="G276" s="5"/>
      <c r="I276" s="6"/>
    </row>
    <row r="277" ht="15.75" customHeight="1">
      <c r="G277" s="5"/>
      <c r="I277" s="6"/>
    </row>
    <row r="278" ht="15.75" customHeight="1">
      <c r="G278" s="5"/>
      <c r="I278" s="6"/>
    </row>
    <row r="279" ht="15.75" customHeight="1">
      <c r="G279" s="5"/>
      <c r="I279" s="6"/>
    </row>
    <row r="280" ht="15.75" customHeight="1">
      <c r="G280" s="5"/>
      <c r="I280" s="6"/>
    </row>
    <row r="281" ht="15.75" customHeight="1">
      <c r="G281" s="5"/>
      <c r="I281" s="6"/>
    </row>
    <row r="282" ht="15.75" customHeight="1">
      <c r="G282" s="5"/>
      <c r="I282" s="6"/>
    </row>
    <row r="283" ht="15.75" customHeight="1">
      <c r="G283" s="5"/>
      <c r="I283" s="6"/>
    </row>
    <row r="284" ht="15.75" customHeight="1">
      <c r="G284" s="5"/>
      <c r="I284" s="6"/>
    </row>
    <row r="285" ht="15.75" customHeight="1">
      <c r="G285" s="5"/>
      <c r="I285" s="6"/>
    </row>
    <row r="286" ht="15.75" customHeight="1">
      <c r="G286" s="5"/>
      <c r="I286" s="6"/>
    </row>
    <row r="287" ht="15.75" customHeight="1">
      <c r="G287" s="5"/>
      <c r="I287" s="6"/>
    </row>
    <row r="288" ht="15.75" customHeight="1">
      <c r="G288" s="5"/>
      <c r="I288" s="6"/>
    </row>
    <row r="289" ht="15.75" customHeight="1">
      <c r="G289" s="5"/>
      <c r="I289" s="6"/>
    </row>
    <row r="290" ht="15.75" customHeight="1">
      <c r="G290" s="5"/>
      <c r="I290" s="6"/>
    </row>
    <row r="291" ht="15.75" customHeight="1">
      <c r="G291" s="5"/>
      <c r="I291" s="6"/>
    </row>
    <row r="292" ht="15.75" customHeight="1">
      <c r="G292" s="5"/>
      <c r="I292" s="6"/>
    </row>
    <row r="293" ht="15.75" customHeight="1">
      <c r="G293" s="5"/>
      <c r="I293" s="6"/>
    </row>
    <row r="294" ht="15.75" customHeight="1">
      <c r="G294" s="5"/>
      <c r="I294" s="6"/>
    </row>
    <row r="295" ht="15.75" customHeight="1">
      <c r="G295" s="5"/>
      <c r="I295" s="6"/>
    </row>
    <row r="296" ht="15.75" customHeight="1">
      <c r="G296" s="5"/>
      <c r="I296" s="6"/>
    </row>
    <row r="297" ht="15.75" customHeight="1">
      <c r="G297" s="5"/>
      <c r="I297" s="6"/>
    </row>
    <row r="298" ht="15.75" customHeight="1">
      <c r="G298" s="5"/>
      <c r="I298" s="6"/>
    </row>
    <row r="299" ht="15.75" customHeight="1">
      <c r="G299" s="5"/>
      <c r="I299" s="6"/>
    </row>
    <row r="300" ht="15.75" customHeight="1">
      <c r="G300" s="5"/>
      <c r="I300" s="6"/>
    </row>
    <row r="301" ht="15.75" customHeight="1">
      <c r="G301" s="5"/>
      <c r="I301" s="6"/>
    </row>
    <row r="302" ht="15.75" customHeight="1">
      <c r="G302" s="5"/>
      <c r="I302" s="6"/>
    </row>
    <row r="303" ht="15.75" customHeight="1">
      <c r="G303" s="5"/>
      <c r="I303" s="6"/>
    </row>
    <row r="304" ht="15.75" customHeight="1">
      <c r="G304" s="5"/>
      <c r="I304" s="6"/>
    </row>
    <row r="305" ht="15.75" customHeight="1">
      <c r="G305" s="5"/>
      <c r="I305" s="6"/>
    </row>
    <row r="306" ht="15.75" customHeight="1">
      <c r="G306" s="5"/>
      <c r="I306" s="6"/>
    </row>
    <row r="307" ht="15.75" customHeight="1">
      <c r="G307" s="5"/>
      <c r="I307" s="6"/>
    </row>
    <row r="308" ht="15.75" customHeight="1">
      <c r="G308" s="5"/>
      <c r="I308" s="6"/>
    </row>
    <row r="309" ht="15.75" customHeight="1">
      <c r="G309" s="5"/>
      <c r="I309" s="6"/>
    </row>
    <row r="310" ht="15.75" customHeight="1">
      <c r="G310" s="5"/>
      <c r="I310" s="6"/>
    </row>
    <row r="311" ht="15.75" customHeight="1">
      <c r="G311" s="5"/>
      <c r="I311" s="6"/>
    </row>
    <row r="312" ht="15.75" customHeight="1">
      <c r="G312" s="5"/>
      <c r="I312" s="6"/>
    </row>
    <row r="313" ht="15.75" customHeight="1">
      <c r="G313" s="5"/>
      <c r="I313" s="6"/>
    </row>
    <row r="314" ht="15.75" customHeight="1">
      <c r="G314" s="5"/>
      <c r="I314" s="6"/>
    </row>
    <row r="315" ht="15.75" customHeight="1">
      <c r="G315" s="5"/>
      <c r="I315" s="6"/>
    </row>
    <row r="316" ht="15.75" customHeight="1">
      <c r="G316" s="5"/>
      <c r="I316" s="6"/>
    </row>
    <row r="317" ht="15.75" customHeight="1">
      <c r="G317" s="5"/>
      <c r="I317" s="6"/>
    </row>
    <row r="318" ht="15.75" customHeight="1">
      <c r="G318" s="5"/>
      <c r="I318" s="6"/>
    </row>
    <row r="319" ht="15.75" customHeight="1">
      <c r="G319" s="5"/>
      <c r="I319" s="6"/>
    </row>
    <row r="320" ht="15.75" customHeight="1">
      <c r="G320" s="5"/>
      <c r="I320" s="6"/>
    </row>
    <row r="321" ht="15.75" customHeight="1">
      <c r="G321" s="5"/>
      <c r="I321" s="6"/>
    </row>
    <row r="322" ht="15.75" customHeight="1">
      <c r="G322" s="5"/>
      <c r="I322" s="6"/>
    </row>
    <row r="323" ht="15.75" customHeight="1">
      <c r="G323" s="5"/>
      <c r="I323" s="6"/>
    </row>
    <row r="324" ht="15.75" customHeight="1">
      <c r="G324" s="5"/>
      <c r="I324" s="6"/>
    </row>
    <row r="325" ht="15.75" customHeight="1">
      <c r="G325" s="5"/>
      <c r="I325" s="6"/>
    </row>
    <row r="326" ht="15.75" customHeight="1">
      <c r="G326" s="5"/>
      <c r="I326" s="6"/>
    </row>
    <row r="327" ht="15.75" customHeight="1">
      <c r="G327" s="5"/>
      <c r="I327" s="6"/>
    </row>
    <row r="328" ht="15.75" customHeight="1">
      <c r="G328" s="5"/>
      <c r="I328" s="6"/>
    </row>
    <row r="329" ht="15.75" customHeight="1">
      <c r="G329" s="5"/>
      <c r="I329" s="6"/>
    </row>
    <row r="330" ht="15.75" customHeight="1">
      <c r="G330" s="5"/>
      <c r="I330" s="6"/>
    </row>
    <row r="331" ht="15.75" customHeight="1">
      <c r="G331" s="5"/>
      <c r="I331" s="6"/>
    </row>
    <row r="332" ht="15.75" customHeight="1">
      <c r="G332" s="5"/>
      <c r="I332" s="6"/>
    </row>
    <row r="333" ht="15.75" customHeight="1">
      <c r="G333" s="5"/>
      <c r="I333" s="6"/>
    </row>
    <row r="334" ht="15.75" customHeight="1">
      <c r="G334" s="5"/>
      <c r="I334" s="6"/>
    </row>
    <row r="335" ht="15.75" customHeight="1">
      <c r="G335" s="5"/>
      <c r="I335" s="6"/>
    </row>
    <row r="336" ht="15.75" customHeight="1">
      <c r="G336" s="5"/>
      <c r="I336" s="6"/>
    </row>
    <row r="337" ht="15.75" customHeight="1">
      <c r="G337" s="5"/>
      <c r="I337" s="6"/>
    </row>
    <row r="338" ht="15.75" customHeight="1">
      <c r="G338" s="5"/>
      <c r="I338" s="6"/>
    </row>
    <row r="339" ht="15.75" customHeight="1">
      <c r="G339" s="5"/>
      <c r="I339" s="6"/>
    </row>
    <row r="340" ht="15.75" customHeight="1">
      <c r="G340" s="5"/>
      <c r="I340" s="6"/>
    </row>
    <row r="341" ht="15.75" customHeight="1">
      <c r="G341" s="5"/>
      <c r="I341" s="6"/>
    </row>
    <row r="342" ht="15.75" customHeight="1">
      <c r="G342" s="5"/>
      <c r="I342" s="6"/>
    </row>
    <row r="343" ht="15.75" customHeight="1">
      <c r="G343" s="5"/>
      <c r="I343" s="6"/>
    </row>
    <row r="344" ht="15.75" customHeight="1">
      <c r="G344" s="5"/>
      <c r="I344" s="6"/>
    </row>
    <row r="345" ht="15.75" customHeight="1">
      <c r="G345" s="5"/>
      <c r="I345" s="6"/>
    </row>
    <row r="346" ht="15.75" customHeight="1">
      <c r="G346" s="5"/>
      <c r="I346" s="6"/>
    </row>
    <row r="347" ht="15.75" customHeight="1">
      <c r="G347" s="5"/>
      <c r="I347" s="6"/>
    </row>
    <row r="348" ht="15.75" customHeight="1">
      <c r="G348" s="5"/>
      <c r="I348" s="6"/>
    </row>
    <row r="349" ht="15.75" customHeight="1">
      <c r="G349" s="5"/>
      <c r="I349" s="6"/>
    </row>
    <row r="350" ht="15.75" customHeight="1">
      <c r="G350" s="5"/>
      <c r="I350" s="6"/>
    </row>
    <row r="351" ht="15.75" customHeight="1">
      <c r="G351" s="5"/>
      <c r="I351" s="6"/>
    </row>
    <row r="352" ht="15.75" customHeight="1">
      <c r="G352" s="5"/>
      <c r="I352" s="6"/>
    </row>
    <row r="353" ht="15.75" customHeight="1">
      <c r="G353" s="5"/>
      <c r="I353" s="6"/>
    </row>
    <row r="354" ht="15.75" customHeight="1">
      <c r="G354" s="5"/>
      <c r="I354" s="6"/>
    </row>
    <row r="355" ht="15.75" customHeight="1">
      <c r="G355" s="5"/>
      <c r="I355" s="6"/>
    </row>
    <row r="356" ht="15.75" customHeight="1">
      <c r="G356" s="5"/>
      <c r="I356" s="6"/>
    </row>
    <row r="357" ht="15.75" customHeight="1">
      <c r="G357" s="5"/>
      <c r="I357" s="6"/>
    </row>
    <row r="358" ht="15.75" customHeight="1">
      <c r="G358" s="5"/>
      <c r="I358" s="6"/>
    </row>
    <row r="359" ht="15.75" customHeight="1">
      <c r="G359" s="5"/>
      <c r="I359" s="6"/>
    </row>
    <row r="360" ht="15.75" customHeight="1">
      <c r="G360" s="5"/>
      <c r="I360" s="6"/>
    </row>
    <row r="361" ht="15.75" customHeight="1">
      <c r="G361" s="5"/>
      <c r="I361" s="6"/>
    </row>
    <row r="362" ht="15.75" customHeight="1">
      <c r="G362" s="5"/>
      <c r="I362" s="6"/>
    </row>
    <row r="363" ht="15.75" customHeight="1">
      <c r="G363" s="5"/>
      <c r="I363" s="6"/>
    </row>
    <row r="364" ht="15.75" customHeight="1">
      <c r="G364" s="5"/>
      <c r="I364" s="6"/>
    </row>
    <row r="365" ht="15.75" customHeight="1">
      <c r="G365" s="5"/>
      <c r="I365" s="6"/>
    </row>
    <row r="366" ht="15.75" customHeight="1">
      <c r="G366" s="5"/>
      <c r="I366" s="6"/>
    </row>
    <row r="367" ht="15.75" customHeight="1">
      <c r="G367" s="5"/>
      <c r="I367" s="6"/>
    </row>
    <row r="368" ht="15.75" customHeight="1">
      <c r="G368" s="5"/>
      <c r="I368" s="6"/>
    </row>
    <row r="369" ht="15.75" customHeight="1">
      <c r="G369" s="5"/>
      <c r="I369" s="6"/>
    </row>
    <row r="370" ht="15.75" customHeight="1">
      <c r="G370" s="5"/>
      <c r="I370" s="6"/>
    </row>
    <row r="371" ht="15.75" customHeight="1">
      <c r="G371" s="5"/>
      <c r="I371" s="6"/>
    </row>
    <row r="372" ht="15.75" customHeight="1">
      <c r="G372" s="5"/>
      <c r="I372" s="6"/>
    </row>
    <row r="373" ht="15.75" customHeight="1">
      <c r="G373" s="5"/>
      <c r="I373" s="6"/>
    </row>
    <row r="374" ht="15.75" customHeight="1">
      <c r="G374" s="5"/>
      <c r="I374" s="6"/>
    </row>
    <row r="375" ht="15.75" customHeight="1">
      <c r="G375" s="5"/>
      <c r="I375" s="6"/>
    </row>
    <row r="376" ht="15.75" customHeight="1">
      <c r="G376" s="5"/>
      <c r="I376" s="6"/>
    </row>
    <row r="377" ht="15.75" customHeight="1">
      <c r="G377" s="5"/>
      <c r="I377" s="6"/>
    </row>
    <row r="378" ht="15.75" customHeight="1">
      <c r="G378" s="5"/>
      <c r="I378" s="6"/>
    </row>
    <row r="379" ht="15.75" customHeight="1">
      <c r="G379" s="5"/>
      <c r="I379" s="6"/>
    </row>
    <row r="380" ht="15.75" customHeight="1">
      <c r="G380" s="5"/>
      <c r="I380" s="6"/>
    </row>
    <row r="381" ht="15.75" customHeight="1">
      <c r="G381" s="5"/>
      <c r="I381" s="6"/>
    </row>
    <row r="382" ht="15.75" customHeight="1">
      <c r="G382" s="5"/>
      <c r="I382" s="6"/>
    </row>
    <row r="383" ht="15.75" customHeight="1">
      <c r="G383" s="5"/>
      <c r="I383" s="6"/>
    </row>
    <row r="384" ht="15.75" customHeight="1">
      <c r="G384" s="5"/>
      <c r="I384" s="6"/>
    </row>
    <row r="385" ht="15.75" customHeight="1">
      <c r="G385" s="5"/>
      <c r="I385" s="6"/>
    </row>
    <row r="386" ht="15.75" customHeight="1">
      <c r="G386" s="5"/>
      <c r="I386" s="6"/>
    </row>
    <row r="387" ht="15.75" customHeight="1">
      <c r="G387" s="5"/>
      <c r="I387" s="6"/>
    </row>
    <row r="388" ht="15.75" customHeight="1">
      <c r="G388" s="5"/>
      <c r="I388" s="6"/>
    </row>
    <row r="389" ht="15.75" customHeight="1">
      <c r="G389" s="5"/>
      <c r="I389" s="6"/>
    </row>
    <row r="390" ht="15.75" customHeight="1">
      <c r="G390" s="5"/>
      <c r="I390" s="6"/>
    </row>
    <row r="391" ht="15.75" customHeight="1">
      <c r="G391" s="5"/>
      <c r="I391" s="6"/>
    </row>
    <row r="392" ht="15.75" customHeight="1">
      <c r="G392" s="5"/>
      <c r="I392" s="6"/>
    </row>
    <row r="393" ht="15.75" customHeight="1">
      <c r="G393" s="5"/>
      <c r="I393" s="6"/>
    </row>
    <row r="394" ht="15.75" customHeight="1">
      <c r="G394" s="5"/>
      <c r="I394" s="6"/>
    </row>
    <row r="395" ht="15.75" customHeight="1">
      <c r="G395" s="5"/>
      <c r="I395" s="6"/>
    </row>
    <row r="396" ht="15.75" customHeight="1">
      <c r="G396" s="5"/>
      <c r="I396" s="6"/>
    </row>
    <row r="397" ht="15.75" customHeight="1">
      <c r="G397" s="5"/>
      <c r="I397" s="6"/>
    </row>
    <row r="398" ht="15.75" customHeight="1">
      <c r="G398" s="5"/>
      <c r="I398" s="6"/>
    </row>
    <row r="399" ht="15.75" customHeight="1">
      <c r="G399" s="5"/>
      <c r="I399" s="6"/>
    </row>
    <row r="400" ht="15.75" customHeight="1">
      <c r="G400" s="5"/>
      <c r="I400" s="6"/>
    </row>
    <row r="401" ht="15.75" customHeight="1">
      <c r="G401" s="5"/>
      <c r="I401" s="6"/>
    </row>
    <row r="402" ht="15.75" customHeight="1">
      <c r="G402" s="5"/>
      <c r="I402" s="6"/>
    </row>
    <row r="403" ht="15.75" customHeight="1">
      <c r="G403" s="5"/>
      <c r="I403" s="6"/>
    </row>
    <row r="404" ht="15.75" customHeight="1">
      <c r="G404" s="5"/>
      <c r="I404" s="6"/>
    </row>
    <row r="405" ht="15.75" customHeight="1">
      <c r="G405" s="5"/>
      <c r="I405" s="6"/>
    </row>
    <row r="406" ht="15.75" customHeight="1">
      <c r="G406" s="5"/>
      <c r="I406" s="6"/>
    </row>
    <row r="407" ht="15.75" customHeight="1">
      <c r="G407" s="5"/>
      <c r="I407" s="6"/>
    </row>
    <row r="408" ht="15.75" customHeight="1">
      <c r="G408" s="5"/>
      <c r="I408" s="6"/>
    </row>
    <row r="409" ht="15.75" customHeight="1">
      <c r="G409" s="5"/>
      <c r="I409" s="6"/>
    </row>
    <row r="410" ht="15.75" customHeight="1">
      <c r="G410" s="5"/>
      <c r="I410" s="6"/>
    </row>
    <row r="411" ht="15.75" customHeight="1">
      <c r="G411" s="5"/>
      <c r="I411" s="6"/>
    </row>
    <row r="412" ht="15.75" customHeight="1">
      <c r="G412" s="5"/>
      <c r="I412" s="6"/>
    </row>
    <row r="413" ht="15.75" customHeight="1">
      <c r="G413" s="5"/>
      <c r="I413" s="6"/>
    </row>
    <row r="414" ht="15.75" customHeight="1">
      <c r="G414" s="5"/>
      <c r="I414" s="6"/>
    </row>
    <row r="415" ht="15.75" customHeight="1">
      <c r="G415" s="5"/>
      <c r="I415" s="6"/>
    </row>
    <row r="416" ht="15.75" customHeight="1">
      <c r="G416" s="5"/>
      <c r="I416" s="6"/>
    </row>
    <row r="417" ht="15.75" customHeight="1">
      <c r="G417" s="5"/>
      <c r="I417" s="6"/>
    </row>
    <row r="418" ht="15.75" customHeight="1">
      <c r="G418" s="5"/>
      <c r="I418" s="6"/>
    </row>
    <row r="419" ht="15.75" customHeight="1">
      <c r="G419" s="5"/>
      <c r="I419" s="6"/>
    </row>
    <row r="420" ht="15.75" customHeight="1">
      <c r="G420" s="5"/>
      <c r="I420" s="6"/>
    </row>
    <row r="421" ht="15.75" customHeight="1">
      <c r="G421" s="5"/>
      <c r="I421" s="6"/>
    </row>
    <row r="422" ht="15.75" customHeight="1">
      <c r="G422" s="5"/>
      <c r="I422" s="6"/>
    </row>
    <row r="423" ht="15.75" customHeight="1">
      <c r="G423" s="5"/>
      <c r="I423" s="6"/>
    </row>
    <row r="424" ht="15.75" customHeight="1">
      <c r="G424" s="5"/>
      <c r="I424" s="6"/>
    </row>
    <row r="425" ht="15.75" customHeight="1">
      <c r="G425" s="5"/>
      <c r="I425" s="6"/>
    </row>
    <row r="426" ht="15.75" customHeight="1">
      <c r="G426" s="5"/>
      <c r="I426" s="6"/>
    </row>
    <row r="427" ht="15.75" customHeight="1">
      <c r="G427" s="5"/>
      <c r="I427" s="6"/>
    </row>
    <row r="428" ht="15.75" customHeight="1">
      <c r="G428" s="5"/>
      <c r="I428" s="6"/>
    </row>
    <row r="429" ht="15.75" customHeight="1">
      <c r="G429" s="5"/>
      <c r="I429" s="6"/>
    </row>
    <row r="430" ht="15.75" customHeight="1">
      <c r="G430" s="5"/>
      <c r="I430" s="6"/>
    </row>
    <row r="431" ht="15.75" customHeight="1">
      <c r="G431" s="5"/>
      <c r="I431" s="6"/>
    </row>
    <row r="432" ht="15.75" customHeight="1">
      <c r="G432" s="5"/>
      <c r="I432" s="6"/>
    </row>
    <row r="433" ht="15.75" customHeight="1">
      <c r="G433" s="5"/>
      <c r="I433" s="6"/>
    </row>
    <row r="434" ht="15.75" customHeight="1">
      <c r="G434" s="5"/>
      <c r="I434" s="6"/>
    </row>
    <row r="435" ht="15.75" customHeight="1">
      <c r="G435" s="5"/>
      <c r="I435" s="6"/>
    </row>
    <row r="436" ht="15.75" customHeight="1">
      <c r="G436" s="5"/>
      <c r="I436" s="6"/>
    </row>
    <row r="437" ht="15.75" customHeight="1">
      <c r="G437" s="5"/>
      <c r="I437" s="6"/>
    </row>
    <row r="438" ht="15.75" customHeight="1">
      <c r="G438" s="5"/>
      <c r="I438" s="6"/>
    </row>
    <row r="439" ht="15.75" customHeight="1">
      <c r="G439" s="5"/>
      <c r="I439" s="6"/>
    </row>
    <row r="440" ht="15.75" customHeight="1">
      <c r="G440" s="5"/>
      <c r="I440" s="6"/>
    </row>
    <row r="441" ht="15.75" customHeight="1">
      <c r="G441" s="5"/>
      <c r="I441" s="6"/>
    </row>
    <row r="442" ht="15.75" customHeight="1">
      <c r="G442" s="5"/>
      <c r="I442" s="6"/>
    </row>
    <row r="443" ht="15.75" customHeight="1">
      <c r="G443" s="5"/>
      <c r="I443" s="6"/>
    </row>
    <row r="444" ht="15.75" customHeight="1">
      <c r="G444" s="5"/>
      <c r="I444" s="6"/>
    </row>
    <row r="445" ht="15.75" customHeight="1">
      <c r="G445" s="5"/>
      <c r="I445" s="6"/>
    </row>
    <row r="446" ht="15.75" customHeight="1">
      <c r="G446" s="5"/>
      <c r="I446" s="6"/>
    </row>
    <row r="447" ht="15.75" customHeight="1">
      <c r="G447" s="5"/>
      <c r="I447" s="6"/>
    </row>
    <row r="448" ht="15.75" customHeight="1">
      <c r="G448" s="5"/>
      <c r="I448" s="6"/>
    </row>
    <row r="449" ht="15.75" customHeight="1">
      <c r="G449" s="5"/>
      <c r="I449" s="6"/>
    </row>
    <row r="450" ht="15.75" customHeight="1">
      <c r="G450" s="5"/>
      <c r="I450" s="6"/>
    </row>
    <row r="451" ht="15.75" customHeight="1">
      <c r="G451" s="5"/>
      <c r="I451" s="6"/>
    </row>
    <row r="452" ht="15.75" customHeight="1">
      <c r="G452" s="5"/>
      <c r="I452" s="6"/>
    </row>
    <row r="453" ht="15.75" customHeight="1">
      <c r="G453" s="5"/>
      <c r="I453" s="6"/>
    </row>
    <row r="454" ht="15.75" customHeight="1">
      <c r="G454" s="5"/>
      <c r="I454" s="6"/>
    </row>
    <row r="455" ht="15.75" customHeight="1">
      <c r="G455" s="5"/>
      <c r="I455" s="6"/>
    </row>
    <row r="456" ht="15.75" customHeight="1">
      <c r="G456" s="5"/>
      <c r="I456" s="6"/>
    </row>
    <row r="457" ht="15.75" customHeight="1">
      <c r="G457" s="5"/>
      <c r="I457" s="6"/>
    </row>
    <row r="458" ht="15.75" customHeight="1">
      <c r="G458" s="5"/>
      <c r="I458" s="6"/>
    </row>
    <row r="459" ht="15.75" customHeight="1">
      <c r="G459" s="5"/>
      <c r="I459" s="6"/>
    </row>
    <row r="460" ht="15.75" customHeight="1">
      <c r="G460" s="5"/>
      <c r="I460" s="6"/>
    </row>
    <row r="461" ht="15.75" customHeight="1">
      <c r="G461" s="5"/>
      <c r="I461" s="6"/>
    </row>
    <row r="462" ht="15.75" customHeight="1">
      <c r="G462" s="5"/>
      <c r="I462" s="6"/>
    </row>
    <row r="463" ht="15.75" customHeight="1">
      <c r="G463" s="5"/>
      <c r="I463" s="6"/>
    </row>
    <row r="464" ht="15.75" customHeight="1">
      <c r="G464" s="5"/>
      <c r="I464" s="6"/>
    </row>
    <row r="465" ht="15.75" customHeight="1">
      <c r="G465" s="5"/>
      <c r="I465" s="6"/>
    </row>
    <row r="466" ht="15.75" customHeight="1">
      <c r="G466" s="5"/>
      <c r="I466" s="6"/>
    </row>
    <row r="467" ht="15.75" customHeight="1">
      <c r="G467" s="5"/>
      <c r="I467" s="6"/>
    </row>
    <row r="468" ht="15.75" customHeight="1">
      <c r="G468" s="5"/>
      <c r="I468" s="6"/>
    </row>
    <row r="469" ht="15.75" customHeight="1">
      <c r="G469" s="5"/>
      <c r="I469" s="6"/>
    </row>
    <row r="470" ht="15.75" customHeight="1">
      <c r="G470" s="5"/>
      <c r="I470" s="6"/>
    </row>
    <row r="471" ht="15.75" customHeight="1">
      <c r="G471" s="5"/>
      <c r="I471" s="6"/>
    </row>
    <row r="472" ht="15.75" customHeight="1">
      <c r="G472" s="5"/>
      <c r="I472" s="6"/>
    </row>
    <row r="473" ht="15.75" customHeight="1">
      <c r="G473" s="5"/>
      <c r="I473" s="6"/>
    </row>
    <row r="474" ht="15.75" customHeight="1">
      <c r="G474" s="5"/>
      <c r="I474" s="6"/>
    </row>
    <row r="475" ht="15.75" customHeight="1">
      <c r="G475" s="5"/>
      <c r="I475" s="6"/>
    </row>
    <row r="476" ht="15.75" customHeight="1">
      <c r="G476" s="5"/>
      <c r="I476" s="6"/>
    </row>
    <row r="477" ht="15.75" customHeight="1">
      <c r="G477" s="5"/>
      <c r="I477" s="6"/>
    </row>
    <row r="478" ht="15.75" customHeight="1">
      <c r="G478" s="5"/>
      <c r="I478" s="6"/>
    </row>
    <row r="479" ht="15.75" customHeight="1">
      <c r="G479" s="5"/>
      <c r="I479" s="6"/>
    </row>
    <row r="480" ht="15.75" customHeight="1">
      <c r="G480" s="5"/>
      <c r="I480" s="6"/>
    </row>
    <row r="481" ht="15.75" customHeight="1">
      <c r="G481" s="5"/>
      <c r="I481" s="6"/>
    </row>
    <row r="482" ht="15.75" customHeight="1">
      <c r="G482" s="5"/>
      <c r="I482" s="6"/>
    </row>
    <row r="483" ht="15.75" customHeight="1">
      <c r="G483" s="5"/>
      <c r="I483" s="6"/>
    </row>
    <row r="484" ht="15.75" customHeight="1">
      <c r="G484" s="5"/>
      <c r="I484" s="6"/>
    </row>
    <row r="485" ht="15.75" customHeight="1">
      <c r="G485" s="5"/>
      <c r="I485" s="6"/>
    </row>
    <row r="486" ht="15.75" customHeight="1">
      <c r="G486" s="5"/>
      <c r="I486" s="6"/>
    </row>
    <row r="487" ht="15.75" customHeight="1">
      <c r="G487" s="5"/>
      <c r="I487" s="6"/>
    </row>
    <row r="488" ht="15.75" customHeight="1">
      <c r="G488" s="5"/>
      <c r="I488" s="6"/>
    </row>
    <row r="489" ht="15.75" customHeight="1">
      <c r="G489" s="5"/>
      <c r="I489" s="6"/>
    </row>
    <row r="490" ht="15.75" customHeight="1">
      <c r="G490" s="5"/>
      <c r="I490" s="6"/>
    </row>
    <row r="491" ht="15.75" customHeight="1">
      <c r="G491" s="5"/>
      <c r="I491" s="6"/>
    </row>
    <row r="492" ht="15.75" customHeight="1">
      <c r="G492" s="5"/>
      <c r="I492" s="6"/>
    </row>
    <row r="493" ht="15.75" customHeight="1">
      <c r="G493" s="5"/>
      <c r="I493" s="6"/>
    </row>
    <row r="494" ht="15.75" customHeight="1">
      <c r="G494" s="5"/>
      <c r="I494" s="6"/>
    </row>
    <row r="495" ht="15.75" customHeight="1">
      <c r="G495" s="5"/>
      <c r="I495" s="6"/>
    </row>
    <row r="496" ht="15.75" customHeight="1">
      <c r="G496" s="5"/>
      <c r="I496" s="6"/>
    </row>
    <row r="497" ht="15.75" customHeight="1">
      <c r="G497" s="5"/>
      <c r="I497" s="6"/>
    </row>
    <row r="498" ht="15.75" customHeight="1">
      <c r="G498" s="5"/>
      <c r="I498" s="6"/>
    </row>
    <row r="499" ht="15.75" customHeight="1">
      <c r="G499" s="5"/>
      <c r="I499" s="6"/>
    </row>
    <row r="500" ht="15.75" customHeight="1">
      <c r="G500" s="5"/>
      <c r="I500" s="6"/>
    </row>
    <row r="501" ht="15.75" customHeight="1">
      <c r="G501" s="5"/>
      <c r="I501" s="6"/>
    </row>
    <row r="502" ht="15.75" customHeight="1">
      <c r="G502" s="5"/>
      <c r="I502" s="6"/>
    </row>
    <row r="503" ht="15.75" customHeight="1">
      <c r="G503" s="5"/>
      <c r="I503" s="6"/>
    </row>
    <row r="504" ht="15.75" customHeight="1">
      <c r="G504" s="5"/>
      <c r="I504" s="6"/>
    </row>
    <row r="505" ht="15.75" customHeight="1">
      <c r="G505" s="5"/>
      <c r="I505" s="6"/>
    </row>
    <row r="506" ht="15.75" customHeight="1">
      <c r="G506" s="5"/>
      <c r="I506" s="6"/>
    </row>
    <row r="507" ht="15.75" customHeight="1">
      <c r="G507" s="5"/>
      <c r="I507" s="6"/>
    </row>
    <row r="508" ht="15.75" customHeight="1">
      <c r="G508" s="5"/>
      <c r="I508" s="6"/>
    </row>
    <row r="509" ht="15.75" customHeight="1">
      <c r="G509" s="5"/>
      <c r="I509" s="6"/>
    </row>
    <row r="510" ht="15.75" customHeight="1">
      <c r="G510" s="5"/>
      <c r="I510" s="6"/>
    </row>
    <row r="511" ht="15.75" customHeight="1">
      <c r="G511" s="5"/>
      <c r="I511" s="6"/>
    </row>
    <row r="512" ht="15.75" customHeight="1">
      <c r="G512" s="5"/>
      <c r="I512" s="6"/>
    </row>
    <row r="513" ht="15.75" customHeight="1">
      <c r="G513" s="5"/>
      <c r="I513" s="6"/>
    </row>
    <row r="514" ht="15.75" customHeight="1">
      <c r="G514" s="5"/>
      <c r="I514" s="6"/>
    </row>
    <row r="515" ht="15.75" customHeight="1">
      <c r="G515" s="5"/>
      <c r="I515" s="6"/>
    </row>
    <row r="516" ht="15.75" customHeight="1">
      <c r="G516" s="5"/>
      <c r="I516" s="6"/>
    </row>
    <row r="517" ht="15.75" customHeight="1">
      <c r="G517" s="5"/>
      <c r="I517" s="6"/>
    </row>
    <row r="518" ht="15.75" customHeight="1">
      <c r="G518" s="5"/>
      <c r="I518" s="6"/>
    </row>
    <row r="519" ht="15.75" customHeight="1">
      <c r="G519" s="5"/>
      <c r="I519" s="6"/>
    </row>
    <row r="520" ht="15.75" customHeight="1">
      <c r="G520" s="5"/>
      <c r="I520" s="6"/>
    </row>
    <row r="521" ht="15.75" customHeight="1">
      <c r="G521" s="5"/>
      <c r="I521" s="6"/>
    </row>
    <row r="522" ht="15.75" customHeight="1">
      <c r="G522" s="5"/>
      <c r="I522" s="6"/>
    </row>
    <row r="523" ht="15.75" customHeight="1">
      <c r="G523" s="5"/>
      <c r="I523" s="6"/>
    </row>
    <row r="524" ht="15.75" customHeight="1">
      <c r="G524" s="5"/>
      <c r="I524" s="6"/>
    </row>
    <row r="525" ht="15.75" customHeight="1">
      <c r="G525" s="5"/>
      <c r="I525" s="6"/>
    </row>
    <row r="526" ht="15.75" customHeight="1">
      <c r="G526" s="5"/>
      <c r="I526" s="6"/>
    </row>
    <row r="527" ht="15.75" customHeight="1">
      <c r="G527" s="5"/>
      <c r="I527" s="6"/>
    </row>
    <row r="528" ht="15.75" customHeight="1">
      <c r="G528" s="5"/>
      <c r="I528" s="6"/>
    </row>
    <row r="529" ht="15.75" customHeight="1">
      <c r="G529" s="5"/>
      <c r="I529" s="6"/>
    </row>
    <row r="530" ht="15.75" customHeight="1">
      <c r="G530" s="5"/>
      <c r="I530" s="6"/>
    </row>
    <row r="531" ht="15.75" customHeight="1">
      <c r="G531" s="5"/>
      <c r="I531" s="6"/>
    </row>
    <row r="532" ht="15.75" customHeight="1">
      <c r="G532" s="5"/>
      <c r="I532" s="6"/>
    </row>
    <row r="533" ht="15.75" customHeight="1">
      <c r="G533" s="5"/>
      <c r="I533" s="6"/>
    </row>
    <row r="534" ht="15.75" customHeight="1">
      <c r="G534" s="5"/>
      <c r="I534" s="6"/>
    </row>
    <row r="535" ht="15.75" customHeight="1">
      <c r="G535" s="5"/>
      <c r="I535" s="6"/>
    </row>
    <row r="536" ht="15.75" customHeight="1">
      <c r="G536" s="5"/>
      <c r="I536" s="6"/>
    </row>
    <row r="537" ht="15.75" customHeight="1">
      <c r="G537" s="5"/>
      <c r="I537" s="6"/>
    </row>
    <row r="538" ht="15.75" customHeight="1">
      <c r="G538" s="5"/>
      <c r="I538" s="6"/>
    </row>
    <row r="539" ht="15.75" customHeight="1">
      <c r="G539" s="5"/>
      <c r="I539" s="6"/>
    </row>
    <row r="540" ht="15.75" customHeight="1">
      <c r="G540" s="5"/>
      <c r="I540" s="6"/>
    </row>
    <row r="541" ht="15.75" customHeight="1">
      <c r="G541" s="5"/>
      <c r="I541" s="6"/>
    </row>
    <row r="542" ht="15.75" customHeight="1">
      <c r="G542" s="5"/>
      <c r="I542" s="6"/>
    </row>
    <row r="543" ht="15.75" customHeight="1">
      <c r="G543" s="5"/>
      <c r="I543" s="6"/>
    </row>
    <row r="544" ht="15.75" customHeight="1">
      <c r="G544" s="5"/>
      <c r="I544" s="6"/>
    </row>
    <row r="545" ht="15.75" customHeight="1">
      <c r="G545" s="5"/>
      <c r="I545" s="6"/>
    </row>
    <row r="546" ht="15.75" customHeight="1">
      <c r="G546" s="5"/>
      <c r="I546" s="6"/>
    </row>
    <row r="547" ht="15.75" customHeight="1">
      <c r="G547" s="5"/>
      <c r="I547" s="6"/>
    </row>
    <row r="548" ht="15.75" customHeight="1">
      <c r="G548" s="5"/>
      <c r="I548" s="6"/>
    </row>
    <row r="549" ht="15.75" customHeight="1">
      <c r="G549" s="5"/>
      <c r="I549" s="6"/>
    </row>
    <row r="550" ht="15.75" customHeight="1">
      <c r="G550" s="5"/>
      <c r="I550" s="6"/>
    </row>
    <row r="551" ht="15.75" customHeight="1">
      <c r="G551" s="5"/>
      <c r="I551" s="6"/>
    </row>
    <row r="552" ht="15.75" customHeight="1">
      <c r="G552" s="5"/>
      <c r="I552" s="6"/>
    </row>
    <row r="553" ht="15.75" customHeight="1">
      <c r="G553" s="5"/>
      <c r="I553" s="6"/>
    </row>
    <row r="554" ht="15.75" customHeight="1">
      <c r="G554" s="5"/>
      <c r="I554" s="6"/>
    </row>
    <row r="555" ht="15.75" customHeight="1">
      <c r="G555" s="5"/>
      <c r="I555" s="6"/>
    </row>
    <row r="556" ht="15.75" customHeight="1">
      <c r="G556" s="5"/>
      <c r="I556" s="6"/>
    </row>
    <row r="557" ht="15.75" customHeight="1">
      <c r="G557" s="5"/>
      <c r="I557" s="6"/>
    </row>
    <row r="558" ht="15.75" customHeight="1">
      <c r="G558" s="5"/>
      <c r="I558" s="6"/>
    </row>
    <row r="559" ht="15.75" customHeight="1">
      <c r="G559" s="5"/>
      <c r="I559" s="6"/>
    </row>
    <row r="560" ht="15.75" customHeight="1">
      <c r="G560" s="5"/>
      <c r="I560" s="6"/>
    </row>
    <row r="561" ht="15.75" customHeight="1">
      <c r="G561" s="5"/>
      <c r="I561" s="6"/>
    </row>
    <row r="562" ht="15.75" customHeight="1">
      <c r="G562" s="5"/>
      <c r="I562" s="6"/>
    </row>
    <row r="563" ht="15.75" customHeight="1">
      <c r="G563" s="5"/>
      <c r="I563" s="6"/>
    </row>
    <row r="564" ht="15.75" customHeight="1">
      <c r="G564" s="5"/>
      <c r="I564" s="6"/>
    </row>
    <row r="565" ht="15.75" customHeight="1">
      <c r="G565" s="5"/>
      <c r="I565" s="6"/>
    </row>
    <row r="566" ht="15.75" customHeight="1">
      <c r="G566" s="5"/>
      <c r="I566" s="6"/>
    </row>
    <row r="567" ht="15.75" customHeight="1">
      <c r="G567" s="5"/>
      <c r="I567" s="6"/>
    </row>
    <row r="568" ht="15.75" customHeight="1">
      <c r="G568" s="5"/>
      <c r="I568" s="6"/>
    </row>
    <row r="569" ht="15.75" customHeight="1">
      <c r="G569" s="5"/>
      <c r="I569" s="6"/>
    </row>
    <row r="570" ht="15.75" customHeight="1">
      <c r="G570" s="5"/>
      <c r="I570" s="6"/>
    </row>
    <row r="571" ht="15.75" customHeight="1">
      <c r="G571" s="5"/>
      <c r="I571" s="6"/>
    </row>
    <row r="572" ht="15.75" customHeight="1">
      <c r="G572" s="5"/>
      <c r="I572" s="6"/>
    </row>
    <row r="573" ht="15.75" customHeight="1">
      <c r="G573" s="5"/>
      <c r="I573" s="6"/>
    </row>
    <row r="574" ht="15.75" customHeight="1">
      <c r="G574" s="5"/>
      <c r="I574" s="6"/>
    </row>
    <row r="575" ht="15.75" customHeight="1">
      <c r="G575" s="5"/>
      <c r="I575" s="6"/>
    </row>
    <row r="576" ht="15.75" customHeight="1">
      <c r="G576" s="5"/>
      <c r="I576" s="6"/>
    </row>
    <row r="577" ht="15.75" customHeight="1">
      <c r="G577" s="5"/>
      <c r="I577" s="6"/>
    </row>
    <row r="578" ht="15.75" customHeight="1">
      <c r="G578" s="5"/>
      <c r="I578" s="6"/>
    </row>
    <row r="579" ht="15.75" customHeight="1">
      <c r="G579" s="5"/>
      <c r="I579" s="6"/>
    </row>
    <row r="580" ht="15.75" customHeight="1">
      <c r="G580" s="5"/>
      <c r="I580" s="6"/>
    </row>
    <row r="581" ht="15.75" customHeight="1">
      <c r="G581" s="5"/>
      <c r="I581" s="6"/>
    </row>
    <row r="582" ht="15.75" customHeight="1">
      <c r="G582" s="5"/>
      <c r="I582" s="6"/>
    </row>
    <row r="583" ht="15.75" customHeight="1">
      <c r="G583" s="5"/>
      <c r="I583" s="6"/>
    </row>
    <row r="584" ht="15.75" customHeight="1">
      <c r="G584" s="5"/>
      <c r="I584" s="6"/>
    </row>
    <row r="585" ht="15.75" customHeight="1">
      <c r="G585" s="5"/>
      <c r="I585" s="6"/>
    </row>
    <row r="586" ht="15.75" customHeight="1">
      <c r="G586" s="5"/>
      <c r="I586" s="6"/>
    </row>
    <row r="587" ht="15.75" customHeight="1">
      <c r="G587" s="5"/>
      <c r="I587" s="6"/>
    </row>
    <row r="588" ht="15.75" customHeight="1">
      <c r="G588" s="5"/>
      <c r="I588" s="6"/>
    </row>
    <row r="589" ht="15.75" customHeight="1">
      <c r="G589" s="5"/>
      <c r="I589" s="6"/>
    </row>
    <row r="590" ht="15.75" customHeight="1">
      <c r="G590" s="5"/>
      <c r="I590" s="6"/>
    </row>
    <row r="591" ht="15.75" customHeight="1">
      <c r="G591" s="5"/>
      <c r="I591" s="6"/>
    </row>
    <row r="592" ht="15.75" customHeight="1">
      <c r="G592" s="5"/>
      <c r="I592" s="6"/>
    </row>
    <row r="593" ht="15.75" customHeight="1">
      <c r="G593" s="5"/>
      <c r="I593" s="6"/>
    </row>
    <row r="594" ht="15.75" customHeight="1">
      <c r="G594" s="5"/>
      <c r="I594" s="6"/>
    </row>
    <row r="595" ht="15.75" customHeight="1">
      <c r="G595" s="5"/>
      <c r="I595" s="6"/>
    </row>
    <row r="596" ht="15.75" customHeight="1">
      <c r="G596" s="5"/>
      <c r="I596" s="6"/>
    </row>
    <row r="597" ht="15.75" customHeight="1">
      <c r="G597" s="5"/>
      <c r="I597" s="6"/>
    </row>
    <row r="598" ht="15.75" customHeight="1">
      <c r="G598" s="5"/>
      <c r="I598" s="6"/>
    </row>
    <row r="599" ht="15.75" customHeight="1">
      <c r="G599" s="5"/>
      <c r="I599" s="6"/>
    </row>
    <row r="600" ht="15.75" customHeight="1">
      <c r="G600" s="5"/>
      <c r="I600" s="6"/>
    </row>
    <row r="601" ht="15.75" customHeight="1">
      <c r="G601" s="5"/>
      <c r="I601" s="6"/>
    </row>
    <row r="602" ht="15.75" customHeight="1">
      <c r="G602" s="5"/>
      <c r="I602" s="6"/>
    </row>
    <row r="603" ht="15.75" customHeight="1">
      <c r="G603" s="5"/>
      <c r="I603" s="6"/>
    </row>
    <row r="604" ht="15.75" customHeight="1">
      <c r="G604" s="5"/>
      <c r="I604" s="6"/>
    </row>
    <row r="605" ht="15.75" customHeight="1">
      <c r="G605" s="5"/>
      <c r="I605" s="6"/>
    </row>
    <row r="606" ht="15.75" customHeight="1">
      <c r="G606" s="5"/>
      <c r="I606" s="6"/>
    </row>
    <row r="607" ht="15.75" customHeight="1">
      <c r="G607" s="5"/>
      <c r="I607" s="6"/>
    </row>
    <row r="608" ht="15.75" customHeight="1">
      <c r="G608" s="5"/>
      <c r="I608" s="6"/>
    </row>
    <row r="609" ht="15.75" customHeight="1">
      <c r="G609" s="5"/>
      <c r="I609" s="6"/>
    </row>
    <row r="610" ht="15.75" customHeight="1">
      <c r="G610" s="5"/>
      <c r="I610" s="6"/>
    </row>
    <row r="611" ht="15.75" customHeight="1">
      <c r="G611" s="5"/>
      <c r="I611" s="6"/>
    </row>
    <row r="612" ht="15.75" customHeight="1">
      <c r="G612" s="5"/>
      <c r="I612" s="6"/>
    </row>
    <row r="613" ht="15.75" customHeight="1">
      <c r="G613" s="5"/>
      <c r="I613" s="6"/>
    </row>
    <row r="614" ht="15.75" customHeight="1">
      <c r="G614" s="5"/>
      <c r="I614" s="6"/>
    </row>
    <row r="615" ht="15.75" customHeight="1">
      <c r="G615" s="5"/>
      <c r="I615" s="6"/>
    </row>
    <row r="616" ht="15.75" customHeight="1">
      <c r="G616" s="5"/>
      <c r="I616" s="6"/>
    </row>
    <row r="617" ht="15.75" customHeight="1">
      <c r="G617" s="5"/>
      <c r="I617" s="6"/>
    </row>
    <row r="618" ht="15.75" customHeight="1">
      <c r="G618" s="5"/>
      <c r="I618" s="6"/>
    </row>
    <row r="619" ht="15.75" customHeight="1">
      <c r="G619" s="5"/>
      <c r="I619" s="6"/>
    </row>
    <row r="620" ht="15.75" customHeight="1">
      <c r="G620" s="5"/>
      <c r="I620" s="6"/>
    </row>
    <row r="621" ht="15.75" customHeight="1">
      <c r="G621" s="5"/>
      <c r="I621" s="6"/>
    </row>
    <row r="622" ht="15.75" customHeight="1">
      <c r="G622" s="5"/>
      <c r="I622" s="6"/>
    </row>
    <row r="623" ht="15.75" customHeight="1">
      <c r="G623" s="5"/>
      <c r="I623" s="6"/>
    </row>
    <row r="624" ht="15.75" customHeight="1">
      <c r="G624" s="5"/>
      <c r="I624" s="6"/>
    </row>
    <row r="625" ht="15.75" customHeight="1">
      <c r="G625" s="5"/>
      <c r="I625" s="6"/>
    </row>
    <row r="626" ht="15.75" customHeight="1">
      <c r="G626" s="5"/>
      <c r="I626" s="6"/>
    </row>
    <row r="627" ht="15.75" customHeight="1">
      <c r="G627" s="5"/>
      <c r="I627" s="6"/>
    </row>
    <row r="628" ht="15.75" customHeight="1">
      <c r="G628" s="5"/>
      <c r="I628" s="6"/>
    </row>
    <row r="629" ht="15.75" customHeight="1">
      <c r="G629" s="5"/>
      <c r="I629" s="6"/>
    </row>
    <row r="630" ht="15.75" customHeight="1">
      <c r="G630" s="5"/>
      <c r="I630" s="6"/>
    </row>
    <row r="631" ht="15.75" customHeight="1">
      <c r="G631" s="5"/>
      <c r="I631" s="6"/>
    </row>
    <row r="632" ht="15.75" customHeight="1">
      <c r="G632" s="5"/>
      <c r="I632" s="6"/>
    </row>
    <row r="633" ht="15.75" customHeight="1">
      <c r="G633" s="5"/>
      <c r="I633" s="6"/>
    </row>
    <row r="634" ht="15.75" customHeight="1">
      <c r="G634" s="5"/>
      <c r="I634" s="6"/>
    </row>
    <row r="635" ht="15.75" customHeight="1">
      <c r="G635" s="5"/>
      <c r="I635" s="6"/>
    </row>
    <row r="636" ht="15.75" customHeight="1">
      <c r="G636" s="5"/>
      <c r="I636" s="6"/>
    </row>
    <row r="637" ht="15.75" customHeight="1">
      <c r="G637" s="5"/>
      <c r="I637" s="6"/>
    </row>
    <row r="638" ht="15.75" customHeight="1">
      <c r="G638" s="5"/>
      <c r="I638" s="6"/>
    </row>
    <row r="639" ht="15.75" customHeight="1">
      <c r="G639" s="5"/>
      <c r="I639" s="6"/>
    </row>
    <row r="640" ht="15.75" customHeight="1">
      <c r="G640" s="5"/>
      <c r="I640" s="6"/>
    </row>
    <row r="641" ht="15.75" customHeight="1">
      <c r="G641" s="5"/>
      <c r="I641" s="6"/>
    </row>
    <row r="642" ht="15.75" customHeight="1">
      <c r="G642" s="5"/>
      <c r="I642" s="6"/>
    </row>
    <row r="643" ht="15.75" customHeight="1">
      <c r="G643" s="5"/>
      <c r="I643" s="6"/>
    </row>
    <row r="644" ht="15.75" customHeight="1">
      <c r="G644" s="5"/>
      <c r="I644" s="6"/>
    </row>
    <row r="645" ht="15.75" customHeight="1">
      <c r="G645" s="5"/>
      <c r="I645" s="6"/>
    </row>
    <row r="646" ht="15.75" customHeight="1">
      <c r="G646" s="5"/>
      <c r="I646" s="6"/>
    </row>
    <row r="647" ht="15.75" customHeight="1">
      <c r="G647" s="5"/>
      <c r="I647" s="6"/>
    </row>
    <row r="648" ht="15.75" customHeight="1">
      <c r="G648" s="5"/>
      <c r="I648" s="6"/>
    </row>
    <row r="649" ht="15.75" customHeight="1">
      <c r="G649" s="5"/>
      <c r="I649" s="6"/>
    </row>
    <row r="650" ht="15.75" customHeight="1">
      <c r="G650" s="5"/>
      <c r="I650" s="6"/>
    </row>
    <row r="651" ht="15.75" customHeight="1">
      <c r="G651" s="5"/>
      <c r="I651" s="6"/>
    </row>
    <row r="652" ht="15.75" customHeight="1">
      <c r="G652" s="5"/>
      <c r="I652" s="6"/>
    </row>
    <row r="653" ht="15.75" customHeight="1">
      <c r="G653" s="5"/>
      <c r="I653" s="6"/>
    </row>
    <row r="654" ht="15.75" customHeight="1">
      <c r="G654" s="5"/>
      <c r="I654" s="6"/>
    </row>
    <row r="655" ht="15.75" customHeight="1">
      <c r="G655" s="5"/>
      <c r="I655" s="6"/>
    </row>
    <row r="656" ht="15.75" customHeight="1">
      <c r="G656" s="5"/>
      <c r="I656" s="6"/>
    </row>
    <row r="657" ht="15.75" customHeight="1">
      <c r="G657" s="5"/>
      <c r="I657" s="6"/>
    </row>
    <row r="658" ht="15.75" customHeight="1">
      <c r="G658" s="5"/>
      <c r="I658" s="6"/>
    </row>
    <row r="659" ht="15.75" customHeight="1">
      <c r="G659" s="5"/>
      <c r="I659" s="6"/>
    </row>
    <row r="660" ht="15.75" customHeight="1">
      <c r="G660" s="5"/>
      <c r="I660" s="6"/>
    </row>
    <row r="661" ht="15.75" customHeight="1">
      <c r="G661" s="5"/>
      <c r="I661" s="6"/>
    </row>
    <row r="662" ht="15.75" customHeight="1">
      <c r="G662" s="5"/>
      <c r="I662" s="6"/>
    </row>
    <row r="663" ht="15.75" customHeight="1">
      <c r="G663" s="5"/>
      <c r="I663" s="6"/>
    </row>
    <row r="664" ht="15.75" customHeight="1">
      <c r="G664" s="5"/>
      <c r="I664" s="6"/>
    </row>
    <row r="665" ht="15.75" customHeight="1">
      <c r="G665" s="5"/>
      <c r="I665" s="6"/>
    </row>
    <row r="666" ht="15.75" customHeight="1">
      <c r="G666" s="5"/>
      <c r="I666" s="6"/>
    </row>
    <row r="667" ht="15.75" customHeight="1">
      <c r="G667" s="5"/>
      <c r="I667" s="6"/>
    </row>
    <row r="668" ht="15.75" customHeight="1">
      <c r="G668" s="5"/>
      <c r="I668" s="6"/>
    </row>
    <row r="669" ht="15.75" customHeight="1">
      <c r="G669" s="5"/>
      <c r="I669" s="6"/>
    </row>
    <row r="670" ht="15.75" customHeight="1">
      <c r="G670" s="5"/>
      <c r="I670" s="6"/>
    </row>
    <row r="671" ht="15.75" customHeight="1">
      <c r="G671" s="5"/>
      <c r="I671" s="6"/>
    </row>
    <row r="672" ht="15.75" customHeight="1">
      <c r="G672" s="5"/>
      <c r="I672" s="6"/>
    </row>
    <row r="673" ht="15.75" customHeight="1">
      <c r="G673" s="5"/>
      <c r="I673" s="6"/>
    </row>
    <row r="674" ht="15.75" customHeight="1">
      <c r="G674" s="5"/>
      <c r="I674" s="6"/>
    </row>
    <row r="675" ht="15.75" customHeight="1">
      <c r="G675" s="5"/>
      <c r="I675" s="6"/>
    </row>
    <row r="676" ht="15.75" customHeight="1">
      <c r="G676" s="5"/>
      <c r="I676" s="6"/>
    </row>
    <row r="677" ht="15.75" customHeight="1">
      <c r="G677" s="5"/>
      <c r="I677" s="6"/>
    </row>
    <row r="678" ht="15.75" customHeight="1">
      <c r="G678" s="5"/>
      <c r="I678" s="6"/>
    </row>
    <row r="679" ht="15.75" customHeight="1">
      <c r="G679" s="5"/>
      <c r="I679" s="6"/>
    </row>
    <row r="680" ht="15.75" customHeight="1">
      <c r="G680" s="5"/>
      <c r="I680" s="6"/>
    </row>
    <row r="681" ht="15.75" customHeight="1">
      <c r="G681" s="5"/>
      <c r="I681" s="6"/>
    </row>
    <row r="682" ht="15.75" customHeight="1">
      <c r="G682" s="5"/>
      <c r="I682" s="6"/>
    </row>
    <row r="683" ht="15.75" customHeight="1">
      <c r="G683" s="5"/>
      <c r="I683" s="6"/>
    </row>
    <row r="684" ht="15.75" customHeight="1">
      <c r="G684" s="5"/>
      <c r="I684" s="6"/>
    </row>
    <row r="685" ht="15.75" customHeight="1">
      <c r="G685" s="5"/>
      <c r="I685" s="6"/>
    </row>
    <row r="686" ht="15.75" customHeight="1">
      <c r="G686" s="5"/>
      <c r="I686" s="6"/>
    </row>
    <row r="687" ht="15.75" customHeight="1">
      <c r="G687" s="5"/>
      <c r="I687" s="6"/>
    </row>
    <row r="688" ht="15.75" customHeight="1">
      <c r="G688" s="5"/>
      <c r="I688" s="6"/>
    </row>
    <row r="689" ht="15.75" customHeight="1">
      <c r="G689" s="5"/>
      <c r="I689" s="6"/>
    </row>
    <row r="690" ht="15.75" customHeight="1">
      <c r="G690" s="5"/>
      <c r="I690" s="6"/>
    </row>
    <row r="691" ht="15.75" customHeight="1">
      <c r="G691" s="5"/>
      <c r="I691" s="6"/>
    </row>
    <row r="692" ht="15.75" customHeight="1">
      <c r="G692" s="5"/>
      <c r="I692" s="6"/>
    </row>
    <row r="693" ht="15.75" customHeight="1">
      <c r="G693" s="5"/>
      <c r="I693" s="6"/>
    </row>
    <row r="694" ht="15.75" customHeight="1">
      <c r="G694" s="5"/>
      <c r="I694" s="6"/>
    </row>
    <row r="695" ht="15.75" customHeight="1">
      <c r="G695" s="5"/>
      <c r="I695" s="6"/>
    </row>
    <row r="696" ht="15.75" customHeight="1">
      <c r="G696" s="5"/>
      <c r="I696" s="6"/>
    </row>
    <row r="697" ht="15.75" customHeight="1">
      <c r="G697" s="5"/>
      <c r="I697" s="6"/>
    </row>
    <row r="698" ht="15.75" customHeight="1">
      <c r="G698" s="5"/>
      <c r="I698" s="6"/>
    </row>
    <row r="699" ht="15.75" customHeight="1">
      <c r="G699" s="5"/>
      <c r="I699" s="6"/>
    </row>
    <row r="700" ht="15.75" customHeight="1">
      <c r="G700" s="5"/>
      <c r="I700" s="6"/>
    </row>
    <row r="701" ht="15.75" customHeight="1">
      <c r="G701" s="5"/>
      <c r="I701" s="6"/>
    </row>
    <row r="702" ht="15.75" customHeight="1">
      <c r="G702" s="5"/>
      <c r="I702" s="6"/>
    </row>
    <row r="703" ht="15.75" customHeight="1">
      <c r="G703" s="5"/>
      <c r="I703" s="6"/>
    </row>
    <row r="704" ht="15.75" customHeight="1">
      <c r="G704" s="5"/>
      <c r="I704" s="6"/>
    </row>
    <row r="705" ht="15.75" customHeight="1">
      <c r="G705" s="5"/>
      <c r="I705" s="6"/>
    </row>
    <row r="706" ht="15.75" customHeight="1">
      <c r="G706" s="5"/>
      <c r="I706" s="6"/>
    </row>
    <row r="707" ht="15.75" customHeight="1">
      <c r="G707" s="5"/>
      <c r="I707" s="6"/>
    </row>
    <row r="708" ht="15.75" customHeight="1">
      <c r="G708" s="5"/>
      <c r="I708" s="6"/>
    </row>
    <row r="709" ht="15.75" customHeight="1">
      <c r="G709" s="5"/>
      <c r="I709" s="6"/>
    </row>
    <row r="710" ht="15.75" customHeight="1">
      <c r="G710" s="5"/>
      <c r="I710" s="6"/>
    </row>
    <row r="711" ht="15.75" customHeight="1">
      <c r="G711" s="5"/>
      <c r="I711" s="6"/>
    </row>
    <row r="712" ht="15.75" customHeight="1">
      <c r="G712" s="5"/>
      <c r="I712" s="6"/>
    </row>
    <row r="713" ht="15.75" customHeight="1">
      <c r="G713" s="5"/>
      <c r="I713" s="6"/>
    </row>
    <row r="714" ht="15.75" customHeight="1">
      <c r="G714" s="5"/>
      <c r="I714" s="6"/>
    </row>
    <row r="715" ht="15.75" customHeight="1">
      <c r="G715" s="5"/>
      <c r="I715" s="6"/>
    </row>
    <row r="716" ht="15.75" customHeight="1">
      <c r="G716" s="5"/>
      <c r="I716" s="6"/>
    </row>
    <row r="717" ht="15.75" customHeight="1">
      <c r="G717" s="5"/>
      <c r="I717" s="6"/>
    </row>
    <row r="718" ht="15.75" customHeight="1">
      <c r="G718" s="5"/>
      <c r="I718" s="6"/>
    </row>
    <row r="719" ht="15.75" customHeight="1">
      <c r="G719" s="5"/>
      <c r="I719" s="6"/>
    </row>
    <row r="720" ht="15.75" customHeight="1">
      <c r="G720" s="5"/>
      <c r="I720" s="6"/>
    </row>
    <row r="721" ht="15.75" customHeight="1">
      <c r="G721" s="5"/>
      <c r="I721" s="6"/>
    </row>
    <row r="722" ht="15.75" customHeight="1">
      <c r="G722" s="5"/>
      <c r="I722" s="6"/>
    </row>
    <row r="723" ht="15.75" customHeight="1">
      <c r="G723" s="5"/>
      <c r="I723" s="6"/>
    </row>
    <row r="724" ht="15.75" customHeight="1">
      <c r="G724" s="5"/>
      <c r="I724" s="6"/>
    </row>
    <row r="725" ht="15.75" customHeight="1">
      <c r="G725" s="5"/>
      <c r="I725" s="6"/>
    </row>
    <row r="726" ht="15.75" customHeight="1">
      <c r="G726" s="5"/>
      <c r="I726" s="6"/>
    </row>
    <row r="727" ht="15.75" customHeight="1">
      <c r="G727" s="5"/>
      <c r="I727" s="6"/>
    </row>
    <row r="728" ht="15.75" customHeight="1">
      <c r="G728" s="5"/>
      <c r="I728" s="6"/>
    </row>
    <row r="729" ht="15.75" customHeight="1">
      <c r="G729" s="5"/>
      <c r="I729" s="6"/>
    </row>
    <row r="730" ht="15.75" customHeight="1">
      <c r="G730" s="5"/>
      <c r="I730" s="6"/>
    </row>
    <row r="731" ht="15.75" customHeight="1">
      <c r="G731" s="5"/>
      <c r="I731" s="6"/>
    </row>
    <row r="732" ht="15.75" customHeight="1">
      <c r="G732" s="5"/>
      <c r="I732" s="6"/>
    </row>
    <row r="733" ht="15.75" customHeight="1">
      <c r="G733" s="5"/>
      <c r="I733" s="6"/>
    </row>
    <row r="734" ht="15.75" customHeight="1">
      <c r="G734" s="5"/>
      <c r="I734" s="6"/>
    </row>
    <row r="735" ht="15.75" customHeight="1">
      <c r="G735" s="5"/>
      <c r="I735" s="6"/>
    </row>
    <row r="736" ht="15.75" customHeight="1">
      <c r="G736" s="5"/>
      <c r="I736" s="6"/>
    </row>
    <row r="737" ht="15.75" customHeight="1">
      <c r="G737" s="5"/>
      <c r="I737" s="6"/>
    </row>
    <row r="738" ht="15.75" customHeight="1">
      <c r="G738" s="5"/>
      <c r="I738" s="6"/>
    </row>
    <row r="739" ht="15.75" customHeight="1">
      <c r="G739" s="5"/>
      <c r="I739" s="6"/>
    </row>
    <row r="740" ht="15.75" customHeight="1">
      <c r="G740" s="5"/>
      <c r="I740" s="6"/>
    </row>
    <row r="741" ht="15.75" customHeight="1">
      <c r="G741" s="5"/>
      <c r="I741" s="6"/>
    </row>
    <row r="742" ht="15.75" customHeight="1">
      <c r="G742" s="5"/>
      <c r="I742" s="6"/>
    </row>
    <row r="743" ht="15.75" customHeight="1">
      <c r="G743" s="5"/>
      <c r="I743" s="6"/>
    </row>
    <row r="744" ht="15.75" customHeight="1">
      <c r="G744" s="5"/>
      <c r="I744" s="6"/>
    </row>
    <row r="745" ht="15.75" customHeight="1">
      <c r="G745" s="5"/>
      <c r="I745" s="6"/>
    </row>
    <row r="746" ht="15.75" customHeight="1">
      <c r="G746" s="5"/>
      <c r="I746" s="6"/>
    </row>
    <row r="747" ht="15.75" customHeight="1">
      <c r="G747" s="5"/>
      <c r="I747" s="6"/>
    </row>
    <row r="748" ht="15.75" customHeight="1">
      <c r="G748" s="5"/>
      <c r="I748" s="6"/>
    </row>
    <row r="749" ht="15.75" customHeight="1">
      <c r="G749" s="5"/>
      <c r="I749" s="6"/>
    </row>
    <row r="750" ht="15.75" customHeight="1">
      <c r="G750" s="5"/>
      <c r="I750" s="6"/>
    </row>
    <row r="751" ht="15.75" customHeight="1">
      <c r="G751" s="5"/>
      <c r="I751" s="6"/>
    </row>
    <row r="752" ht="15.75" customHeight="1">
      <c r="G752" s="5"/>
      <c r="I752" s="6"/>
    </row>
    <row r="753" ht="15.75" customHeight="1">
      <c r="G753" s="5"/>
      <c r="I753" s="6"/>
    </row>
    <row r="754" ht="15.75" customHeight="1">
      <c r="G754" s="5"/>
      <c r="I754" s="6"/>
    </row>
    <row r="755" ht="15.75" customHeight="1">
      <c r="G755" s="5"/>
      <c r="I755" s="6"/>
    </row>
    <row r="756" ht="15.75" customHeight="1">
      <c r="G756" s="5"/>
      <c r="I756" s="6"/>
    </row>
    <row r="757" ht="15.75" customHeight="1">
      <c r="G757" s="5"/>
      <c r="I757" s="6"/>
    </row>
    <row r="758" ht="15.75" customHeight="1">
      <c r="G758" s="5"/>
      <c r="I758" s="6"/>
    </row>
    <row r="759" ht="15.75" customHeight="1">
      <c r="G759" s="5"/>
      <c r="I759" s="6"/>
    </row>
    <row r="760" ht="15.75" customHeight="1">
      <c r="G760" s="5"/>
      <c r="I760" s="6"/>
    </row>
    <row r="761" ht="15.75" customHeight="1">
      <c r="G761" s="5"/>
      <c r="I761" s="6"/>
    </row>
    <row r="762" ht="15.75" customHeight="1">
      <c r="G762" s="5"/>
      <c r="I762" s="6"/>
    </row>
    <row r="763" ht="15.75" customHeight="1">
      <c r="G763" s="5"/>
      <c r="I763" s="6"/>
    </row>
    <row r="764" ht="15.75" customHeight="1">
      <c r="G764" s="5"/>
      <c r="I764" s="6"/>
    </row>
    <row r="765" ht="15.75" customHeight="1">
      <c r="G765" s="5"/>
      <c r="I765" s="6"/>
    </row>
    <row r="766" ht="15.75" customHeight="1">
      <c r="G766" s="5"/>
      <c r="I766" s="6"/>
    </row>
    <row r="767" ht="15.75" customHeight="1">
      <c r="G767" s="5"/>
      <c r="I767" s="6"/>
    </row>
    <row r="768" ht="15.75" customHeight="1">
      <c r="G768" s="5"/>
      <c r="I768" s="6"/>
    </row>
    <row r="769" ht="15.75" customHeight="1">
      <c r="G769" s="5"/>
      <c r="I769" s="6"/>
    </row>
    <row r="770" ht="15.75" customHeight="1">
      <c r="G770" s="5"/>
      <c r="I770" s="6"/>
    </row>
    <row r="771" ht="15.75" customHeight="1">
      <c r="G771" s="5"/>
      <c r="I771" s="6"/>
    </row>
    <row r="772" ht="15.75" customHeight="1">
      <c r="G772" s="5"/>
      <c r="I772" s="6"/>
    </row>
    <row r="773" ht="15.75" customHeight="1">
      <c r="G773" s="5"/>
      <c r="I773" s="6"/>
    </row>
    <row r="774" ht="15.75" customHeight="1">
      <c r="G774" s="5"/>
      <c r="I774" s="6"/>
    </row>
    <row r="775" ht="15.75" customHeight="1">
      <c r="G775" s="5"/>
      <c r="I775" s="6"/>
    </row>
    <row r="776" ht="15.75" customHeight="1">
      <c r="G776" s="5"/>
      <c r="I776" s="6"/>
    </row>
    <row r="777" ht="15.75" customHeight="1">
      <c r="G777" s="5"/>
      <c r="I777" s="6"/>
    </row>
    <row r="778" ht="15.75" customHeight="1">
      <c r="G778" s="5"/>
      <c r="I778" s="6"/>
    </row>
    <row r="779" ht="15.75" customHeight="1">
      <c r="G779" s="5"/>
      <c r="I779" s="6"/>
    </row>
    <row r="780" ht="15.75" customHeight="1">
      <c r="G780" s="5"/>
      <c r="I780" s="6"/>
    </row>
    <row r="781" ht="15.75" customHeight="1">
      <c r="G781" s="5"/>
      <c r="I781" s="6"/>
    </row>
    <row r="782" ht="15.75" customHeight="1">
      <c r="G782" s="5"/>
      <c r="I782" s="6"/>
    </row>
    <row r="783" ht="15.75" customHeight="1">
      <c r="G783" s="5"/>
      <c r="I783" s="6"/>
    </row>
    <row r="784" ht="15.75" customHeight="1">
      <c r="G784" s="5"/>
      <c r="I784" s="6"/>
    </row>
    <row r="785" ht="15.75" customHeight="1">
      <c r="G785" s="5"/>
      <c r="I785" s="6"/>
    </row>
    <row r="786" ht="15.75" customHeight="1">
      <c r="G786" s="5"/>
      <c r="I786" s="6"/>
    </row>
    <row r="787" ht="15.75" customHeight="1">
      <c r="G787" s="5"/>
      <c r="I787" s="6"/>
    </row>
    <row r="788" ht="15.75" customHeight="1">
      <c r="G788" s="5"/>
      <c r="I788" s="6"/>
    </row>
    <row r="789" ht="15.75" customHeight="1">
      <c r="G789" s="5"/>
      <c r="I789" s="6"/>
    </row>
    <row r="790" ht="15.75" customHeight="1">
      <c r="G790" s="5"/>
      <c r="I790" s="6"/>
    </row>
    <row r="791" ht="15.75" customHeight="1">
      <c r="G791" s="5"/>
      <c r="I791" s="6"/>
    </row>
    <row r="792" ht="15.75" customHeight="1">
      <c r="G792" s="5"/>
      <c r="I792" s="6"/>
    </row>
    <row r="793" ht="15.75" customHeight="1">
      <c r="G793" s="5"/>
      <c r="I793" s="6"/>
    </row>
    <row r="794" ht="15.75" customHeight="1">
      <c r="G794" s="5"/>
      <c r="I794" s="6"/>
    </row>
    <row r="795" ht="15.75" customHeight="1">
      <c r="G795" s="5"/>
      <c r="I795" s="6"/>
    </row>
    <row r="796" ht="15.75" customHeight="1">
      <c r="G796" s="5"/>
      <c r="I796" s="6"/>
    </row>
    <row r="797" ht="15.75" customHeight="1">
      <c r="G797" s="5"/>
      <c r="I797" s="6"/>
    </row>
    <row r="798" ht="15.75" customHeight="1">
      <c r="G798" s="5"/>
      <c r="I798" s="6"/>
    </row>
    <row r="799" ht="15.75" customHeight="1">
      <c r="G799" s="5"/>
      <c r="I799" s="6"/>
    </row>
    <row r="800" ht="15.75" customHeight="1">
      <c r="G800" s="5"/>
      <c r="I800" s="6"/>
    </row>
    <row r="801" ht="15.75" customHeight="1">
      <c r="G801" s="5"/>
      <c r="I801" s="6"/>
    </row>
    <row r="802" ht="15.75" customHeight="1">
      <c r="G802" s="5"/>
      <c r="I802" s="6"/>
    </row>
    <row r="803" ht="15.75" customHeight="1">
      <c r="G803" s="5"/>
      <c r="I803" s="6"/>
    </row>
    <row r="804" ht="15.75" customHeight="1">
      <c r="G804" s="5"/>
      <c r="I804" s="6"/>
    </row>
    <row r="805" ht="15.75" customHeight="1">
      <c r="G805" s="5"/>
      <c r="I805" s="6"/>
    </row>
    <row r="806" ht="15.75" customHeight="1">
      <c r="G806" s="5"/>
      <c r="I806" s="6"/>
    </row>
    <row r="807" ht="15.75" customHeight="1">
      <c r="G807" s="5"/>
      <c r="I807" s="6"/>
    </row>
    <row r="808" ht="15.75" customHeight="1">
      <c r="G808" s="5"/>
      <c r="I808" s="6"/>
    </row>
    <row r="809" ht="15.75" customHeight="1">
      <c r="G809" s="5"/>
      <c r="I809" s="6"/>
    </row>
    <row r="810" ht="15.75" customHeight="1">
      <c r="G810" s="5"/>
      <c r="I810" s="6"/>
    </row>
    <row r="811" ht="15.75" customHeight="1">
      <c r="G811" s="5"/>
      <c r="I811" s="6"/>
    </row>
    <row r="812" ht="15.75" customHeight="1">
      <c r="G812" s="5"/>
      <c r="I812" s="6"/>
    </row>
    <row r="813" ht="15.75" customHeight="1">
      <c r="G813" s="5"/>
      <c r="I813" s="6"/>
    </row>
    <row r="814" ht="15.75" customHeight="1">
      <c r="G814" s="5"/>
      <c r="I814" s="6"/>
    </row>
    <row r="815" ht="15.75" customHeight="1">
      <c r="G815" s="5"/>
      <c r="I815" s="6"/>
    </row>
    <row r="816" ht="15.75" customHeight="1">
      <c r="G816" s="5"/>
      <c r="I816" s="6"/>
    </row>
    <row r="817" ht="15.75" customHeight="1">
      <c r="G817" s="5"/>
      <c r="I817" s="6"/>
    </row>
    <row r="818" ht="15.75" customHeight="1">
      <c r="G818" s="5"/>
      <c r="I818" s="6"/>
    </row>
    <row r="819" ht="15.75" customHeight="1">
      <c r="G819" s="5"/>
      <c r="I819" s="6"/>
    </row>
    <row r="820" ht="15.75" customHeight="1">
      <c r="G820" s="5"/>
      <c r="I820" s="6"/>
    </row>
    <row r="821" ht="15.75" customHeight="1">
      <c r="G821" s="5"/>
      <c r="I821" s="6"/>
    </row>
    <row r="822" ht="15.75" customHeight="1">
      <c r="G822" s="5"/>
      <c r="I822" s="6"/>
    </row>
    <row r="823" ht="15.75" customHeight="1">
      <c r="G823" s="5"/>
      <c r="I823" s="6"/>
    </row>
    <row r="824" ht="15.75" customHeight="1">
      <c r="G824" s="5"/>
      <c r="I824" s="6"/>
    </row>
    <row r="825" ht="15.75" customHeight="1">
      <c r="G825" s="5"/>
      <c r="I825" s="6"/>
    </row>
    <row r="826" ht="15.75" customHeight="1">
      <c r="G826" s="5"/>
      <c r="I826" s="6"/>
    </row>
    <row r="827" ht="15.75" customHeight="1">
      <c r="G827" s="5"/>
      <c r="I827" s="6"/>
    </row>
    <row r="828" ht="15.75" customHeight="1">
      <c r="G828" s="5"/>
      <c r="I828" s="6"/>
    </row>
    <row r="829" ht="15.75" customHeight="1">
      <c r="G829" s="5"/>
      <c r="I829" s="6"/>
    </row>
    <row r="830" ht="15.75" customHeight="1">
      <c r="G830" s="5"/>
      <c r="I830" s="6"/>
    </row>
    <row r="831" ht="15.75" customHeight="1">
      <c r="G831" s="5"/>
      <c r="I831" s="6"/>
    </row>
    <row r="832" ht="15.75" customHeight="1">
      <c r="G832" s="5"/>
      <c r="I832" s="6"/>
    </row>
    <row r="833" ht="15.75" customHeight="1">
      <c r="G833" s="5"/>
      <c r="I833" s="6"/>
    </row>
    <row r="834" ht="15.75" customHeight="1">
      <c r="G834" s="5"/>
      <c r="I834" s="6"/>
    </row>
    <row r="835" ht="15.75" customHeight="1">
      <c r="G835" s="5"/>
      <c r="I835" s="6"/>
    </row>
    <row r="836" ht="15.75" customHeight="1">
      <c r="G836" s="5"/>
      <c r="I836" s="6"/>
    </row>
    <row r="837" ht="15.75" customHeight="1">
      <c r="G837" s="5"/>
      <c r="I837" s="6"/>
    </row>
    <row r="838" ht="15.75" customHeight="1">
      <c r="G838" s="5"/>
      <c r="I838" s="6"/>
    </row>
    <row r="839" ht="15.75" customHeight="1">
      <c r="G839" s="5"/>
      <c r="I839" s="6"/>
    </row>
    <row r="840" ht="15.75" customHeight="1">
      <c r="G840" s="5"/>
      <c r="I840" s="6"/>
    </row>
    <row r="841" ht="15.75" customHeight="1">
      <c r="G841" s="5"/>
      <c r="I841" s="6"/>
    </row>
    <row r="842" ht="15.75" customHeight="1">
      <c r="G842" s="5"/>
      <c r="I842" s="6"/>
    </row>
    <row r="843" ht="15.75" customHeight="1">
      <c r="G843" s="5"/>
      <c r="I843" s="6"/>
    </row>
    <row r="844" ht="15.75" customHeight="1">
      <c r="G844" s="5"/>
      <c r="I844" s="6"/>
    </row>
    <row r="845" ht="15.75" customHeight="1">
      <c r="G845" s="5"/>
      <c r="I845" s="6"/>
    </row>
    <row r="846" ht="15.75" customHeight="1">
      <c r="G846" s="5"/>
      <c r="I846" s="6"/>
    </row>
    <row r="847" ht="15.75" customHeight="1">
      <c r="G847" s="5"/>
      <c r="I847" s="6"/>
    </row>
    <row r="848" ht="15.75" customHeight="1">
      <c r="G848" s="5"/>
      <c r="I848" s="6"/>
    </row>
    <row r="849" ht="15.75" customHeight="1">
      <c r="G849" s="5"/>
      <c r="I849" s="6"/>
    </row>
    <row r="850" ht="15.75" customHeight="1">
      <c r="G850" s="5"/>
      <c r="I850" s="6"/>
    </row>
    <row r="851" ht="15.75" customHeight="1">
      <c r="G851" s="5"/>
      <c r="I851" s="6"/>
    </row>
    <row r="852" ht="15.75" customHeight="1">
      <c r="G852" s="5"/>
      <c r="I852" s="6"/>
    </row>
    <row r="853" ht="15.75" customHeight="1">
      <c r="G853" s="5"/>
      <c r="I853" s="6"/>
    </row>
    <row r="854" ht="15.75" customHeight="1">
      <c r="G854" s="5"/>
      <c r="I854" s="6"/>
    </row>
    <row r="855" ht="15.75" customHeight="1">
      <c r="G855" s="5"/>
      <c r="I855" s="6"/>
    </row>
    <row r="856" ht="15.75" customHeight="1">
      <c r="G856" s="5"/>
      <c r="I856" s="6"/>
    </row>
    <row r="857" ht="15.75" customHeight="1">
      <c r="G857" s="5"/>
      <c r="I857" s="6"/>
    </row>
    <row r="858" ht="15.75" customHeight="1">
      <c r="G858" s="5"/>
      <c r="I858" s="6"/>
    </row>
    <row r="859" ht="15.75" customHeight="1">
      <c r="G859" s="5"/>
      <c r="I859" s="6"/>
    </row>
    <row r="860" ht="15.75" customHeight="1">
      <c r="G860" s="5"/>
      <c r="I860" s="6"/>
    </row>
    <row r="861" ht="15.75" customHeight="1">
      <c r="G861" s="5"/>
      <c r="I861" s="6"/>
    </row>
    <row r="862" ht="15.75" customHeight="1">
      <c r="G862" s="5"/>
      <c r="I862" s="6"/>
    </row>
    <row r="863" ht="15.75" customHeight="1">
      <c r="G863" s="5"/>
      <c r="I863" s="6"/>
    </row>
    <row r="864" ht="15.75" customHeight="1">
      <c r="G864" s="5"/>
      <c r="I864" s="6"/>
    </row>
    <row r="865" ht="15.75" customHeight="1">
      <c r="G865" s="5"/>
      <c r="I865" s="6"/>
    </row>
    <row r="866" ht="15.75" customHeight="1">
      <c r="G866" s="5"/>
      <c r="I866" s="6"/>
    </row>
    <row r="867" ht="15.75" customHeight="1">
      <c r="G867" s="5"/>
      <c r="I867" s="6"/>
    </row>
    <row r="868" ht="15.75" customHeight="1">
      <c r="G868" s="5"/>
      <c r="I868" s="6"/>
    </row>
    <row r="869" ht="15.75" customHeight="1">
      <c r="G869" s="5"/>
      <c r="I869" s="6"/>
    </row>
    <row r="870" ht="15.75" customHeight="1">
      <c r="G870" s="5"/>
      <c r="I870" s="6"/>
    </row>
    <row r="871" ht="15.75" customHeight="1">
      <c r="G871" s="5"/>
      <c r="I871" s="6"/>
    </row>
    <row r="872" ht="15.75" customHeight="1">
      <c r="G872" s="5"/>
      <c r="I872" s="6"/>
    </row>
    <row r="873" ht="15.75" customHeight="1">
      <c r="G873" s="5"/>
      <c r="I873" s="6"/>
    </row>
    <row r="874" ht="15.75" customHeight="1">
      <c r="G874" s="5"/>
      <c r="I874" s="6"/>
    </row>
    <row r="875" ht="15.75" customHeight="1">
      <c r="G875" s="5"/>
      <c r="I875" s="6"/>
    </row>
    <row r="876" ht="15.75" customHeight="1">
      <c r="G876" s="5"/>
      <c r="I876" s="6"/>
    </row>
    <row r="877" ht="15.75" customHeight="1">
      <c r="G877" s="5"/>
      <c r="I877" s="6"/>
    </row>
    <row r="878" ht="15.75" customHeight="1">
      <c r="G878" s="5"/>
      <c r="I878" s="6"/>
    </row>
    <row r="879" ht="15.75" customHeight="1">
      <c r="G879" s="5"/>
      <c r="I879" s="6"/>
    </row>
    <row r="880" ht="15.75" customHeight="1">
      <c r="G880" s="5"/>
      <c r="I880" s="6"/>
    </row>
    <row r="881" ht="15.75" customHeight="1">
      <c r="G881" s="5"/>
      <c r="I881" s="6"/>
    </row>
    <row r="882" ht="15.75" customHeight="1">
      <c r="G882" s="5"/>
      <c r="I882" s="6"/>
    </row>
    <row r="883" ht="15.75" customHeight="1">
      <c r="G883" s="5"/>
      <c r="I883" s="6"/>
    </row>
    <row r="884" ht="15.75" customHeight="1">
      <c r="G884" s="5"/>
      <c r="I884" s="6"/>
    </row>
    <row r="885" ht="15.75" customHeight="1">
      <c r="G885" s="5"/>
      <c r="I885" s="6"/>
    </row>
    <row r="886" ht="15.75" customHeight="1">
      <c r="G886" s="5"/>
      <c r="I886" s="6"/>
    </row>
    <row r="887" ht="15.75" customHeight="1">
      <c r="G887" s="5"/>
      <c r="I887" s="6"/>
    </row>
    <row r="888" ht="15.75" customHeight="1">
      <c r="G888" s="5"/>
      <c r="I888" s="6"/>
    </row>
    <row r="889" ht="15.75" customHeight="1">
      <c r="G889" s="5"/>
      <c r="I889" s="6"/>
    </row>
    <row r="890" ht="15.75" customHeight="1">
      <c r="G890" s="5"/>
      <c r="I890" s="6"/>
    </row>
    <row r="891" ht="15.75" customHeight="1">
      <c r="G891" s="5"/>
      <c r="I891" s="6"/>
    </row>
    <row r="892" ht="15.75" customHeight="1">
      <c r="G892" s="5"/>
      <c r="I892" s="6"/>
    </row>
    <row r="893" ht="15.75" customHeight="1">
      <c r="G893" s="5"/>
      <c r="I893" s="6"/>
    </row>
    <row r="894" ht="15.75" customHeight="1">
      <c r="G894" s="5"/>
      <c r="I894" s="6"/>
    </row>
    <row r="895" ht="15.75" customHeight="1">
      <c r="G895" s="5"/>
      <c r="I895" s="6"/>
    </row>
    <row r="896" ht="15.75" customHeight="1">
      <c r="G896" s="5"/>
      <c r="I896" s="6"/>
    </row>
    <row r="897" ht="15.75" customHeight="1">
      <c r="G897" s="5"/>
      <c r="I897" s="6"/>
    </row>
    <row r="898" ht="15.75" customHeight="1">
      <c r="G898" s="5"/>
      <c r="I898" s="6"/>
    </row>
    <row r="899" ht="15.75" customHeight="1">
      <c r="G899" s="5"/>
      <c r="I899" s="6"/>
    </row>
    <row r="900" ht="15.75" customHeight="1">
      <c r="G900" s="5"/>
      <c r="I900" s="6"/>
    </row>
    <row r="901" ht="15.75" customHeight="1">
      <c r="G901" s="5"/>
      <c r="I901" s="6"/>
    </row>
    <row r="902" ht="15.75" customHeight="1">
      <c r="G902" s="5"/>
      <c r="I902" s="6"/>
    </row>
    <row r="903" ht="15.75" customHeight="1">
      <c r="G903" s="5"/>
      <c r="I903" s="6"/>
    </row>
    <row r="904" ht="15.75" customHeight="1">
      <c r="G904" s="5"/>
      <c r="I904" s="6"/>
    </row>
    <row r="905" ht="15.75" customHeight="1">
      <c r="G905" s="5"/>
      <c r="I905" s="6"/>
    </row>
    <row r="906" ht="15.75" customHeight="1">
      <c r="G906" s="5"/>
      <c r="I906" s="6"/>
    </row>
    <row r="907" ht="15.75" customHeight="1">
      <c r="G907" s="5"/>
      <c r="I907" s="6"/>
    </row>
    <row r="908" ht="15.75" customHeight="1">
      <c r="G908" s="5"/>
      <c r="I908" s="6"/>
    </row>
    <row r="909" ht="15.75" customHeight="1">
      <c r="G909" s="5"/>
      <c r="I909" s="6"/>
    </row>
    <row r="910" ht="15.75" customHeight="1">
      <c r="G910" s="5"/>
      <c r="I910" s="6"/>
    </row>
    <row r="911" ht="15.75" customHeight="1">
      <c r="G911" s="5"/>
      <c r="I911" s="6"/>
    </row>
    <row r="912" ht="15.75" customHeight="1">
      <c r="G912" s="5"/>
      <c r="I912" s="6"/>
    </row>
    <row r="913" ht="15.75" customHeight="1">
      <c r="G913" s="5"/>
      <c r="I913" s="6"/>
    </row>
    <row r="914" ht="15.75" customHeight="1">
      <c r="G914" s="5"/>
      <c r="I914" s="6"/>
    </row>
    <row r="915" ht="15.75" customHeight="1">
      <c r="G915" s="5"/>
      <c r="I915" s="6"/>
    </row>
    <row r="916" ht="15.75" customHeight="1">
      <c r="G916" s="5"/>
      <c r="I916" s="6"/>
    </row>
    <row r="917" ht="15.75" customHeight="1">
      <c r="G917" s="5"/>
      <c r="I917" s="6"/>
    </row>
    <row r="918" ht="15.75" customHeight="1">
      <c r="G918" s="5"/>
      <c r="I918" s="6"/>
    </row>
    <row r="919" ht="15.75" customHeight="1">
      <c r="G919" s="5"/>
      <c r="I919" s="6"/>
    </row>
    <row r="920" ht="15.75" customHeight="1">
      <c r="G920" s="5"/>
      <c r="I920" s="6"/>
    </row>
    <row r="921" ht="15.75" customHeight="1">
      <c r="G921" s="5"/>
      <c r="I921" s="6"/>
    </row>
    <row r="922" ht="15.75" customHeight="1">
      <c r="G922" s="5"/>
      <c r="I922" s="6"/>
    </row>
    <row r="923" ht="15.75" customHeight="1">
      <c r="G923" s="5"/>
      <c r="I923" s="6"/>
    </row>
    <row r="924" ht="15.75" customHeight="1">
      <c r="G924" s="5"/>
      <c r="I924" s="6"/>
    </row>
    <row r="925" ht="15.75" customHeight="1">
      <c r="G925" s="5"/>
      <c r="I925" s="6"/>
    </row>
    <row r="926" ht="15.75" customHeight="1">
      <c r="G926" s="5"/>
      <c r="I926" s="6"/>
    </row>
    <row r="927" ht="15.75" customHeight="1">
      <c r="G927" s="5"/>
      <c r="I927" s="6"/>
    </row>
    <row r="928" ht="15.75" customHeight="1">
      <c r="G928" s="5"/>
      <c r="I928" s="6"/>
    </row>
    <row r="929" ht="15.75" customHeight="1">
      <c r="G929" s="5"/>
      <c r="I929" s="6"/>
    </row>
    <row r="930" ht="15.75" customHeight="1">
      <c r="G930" s="5"/>
      <c r="I930" s="6"/>
    </row>
    <row r="931" ht="15.75" customHeight="1">
      <c r="G931" s="5"/>
      <c r="I931" s="6"/>
    </row>
    <row r="932" ht="15.75" customHeight="1">
      <c r="G932" s="5"/>
      <c r="I932" s="6"/>
    </row>
    <row r="933" ht="15.75" customHeight="1">
      <c r="G933" s="5"/>
      <c r="I933" s="6"/>
    </row>
    <row r="934" ht="15.75" customHeight="1">
      <c r="G934" s="5"/>
      <c r="I934" s="6"/>
    </row>
    <row r="935" ht="15.75" customHeight="1">
      <c r="G935" s="5"/>
      <c r="I935" s="6"/>
    </row>
    <row r="936" ht="15.75" customHeight="1">
      <c r="G936" s="5"/>
      <c r="I936" s="6"/>
    </row>
    <row r="937" ht="15.75" customHeight="1">
      <c r="G937" s="5"/>
      <c r="I937" s="6"/>
    </row>
    <row r="938" ht="15.75" customHeight="1">
      <c r="G938" s="5"/>
      <c r="I938" s="6"/>
    </row>
    <row r="939" ht="15.75" customHeight="1">
      <c r="G939" s="5"/>
      <c r="I939" s="6"/>
    </row>
    <row r="940" ht="15.75" customHeight="1">
      <c r="G940" s="5"/>
      <c r="I940" s="6"/>
    </row>
    <row r="941" ht="15.75" customHeight="1">
      <c r="G941" s="5"/>
      <c r="I941" s="6"/>
    </row>
    <row r="942" ht="15.75" customHeight="1">
      <c r="G942" s="5"/>
      <c r="I942" s="6"/>
    </row>
    <row r="943" ht="15.75" customHeight="1">
      <c r="G943" s="5"/>
      <c r="I943" s="6"/>
    </row>
    <row r="944" ht="15.75" customHeight="1">
      <c r="G944" s="5"/>
      <c r="I944" s="6"/>
    </row>
    <row r="945" ht="15.75" customHeight="1">
      <c r="G945" s="5"/>
      <c r="I945" s="6"/>
    </row>
    <row r="946" ht="15.75" customHeight="1">
      <c r="G946" s="5"/>
      <c r="I946" s="6"/>
    </row>
    <row r="947" ht="15.75" customHeight="1">
      <c r="G947" s="5"/>
      <c r="I947" s="6"/>
    </row>
    <row r="948" ht="15.75" customHeight="1">
      <c r="G948" s="5"/>
      <c r="I948" s="6"/>
    </row>
    <row r="949" ht="15.75" customHeight="1">
      <c r="G949" s="5"/>
      <c r="I949" s="6"/>
    </row>
    <row r="950" ht="15.75" customHeight="1">
      <c r="G950" s="5"/>
      <c r="I950" s="6"/>
    </row>
    <row r="951" ht="15.75" customHeight="1">
      <c r="G951" s="5"/>
      <c r="I951" s="6"/>
    </row>
    <row r="952" ht="15.75" customHeight="1">
      <c r="G952" s="5"/>
      <c r="I952" s="6"/>
    </row>
    <row r="953" ht="15.75" customHeight="1">
      <c r="G953" s="5"/>
      <c r="I953" s="6"/>
    </row>
    <row r="954" ht="15.75" customHeight="1">
      <c r="G954" s="5"/>
      <c r="I954" s="6"/>
    </row>
    <row r="955" ht="15.75" customHeight="1">
      <c r="G955" s="5"/>
      <c r="I955" s="6"/>
    </row>
    <row r="956" ht="15.75" customHeight="1">
      <c r="G956" s="5"/>
      <c r="I956" s="6"/>
    </row>
    <row r="957" ht="15.75" customHeight="1">
      <c r="G957" s="5"/>
      <c r="I957" s="6"/>
    </row>
    <row r="958" ht="15.75" customHeight="1">
      <c r="G958" s="5"/>
      <c r="I958" s="6"/>
    </row>
    <row r="959" ht="15.75" customHeight="1">
      <c r="G959" s="5"/>
      <c r="I959" s="6"/>
    </row>
    <row r="960" ht="15.75" customHeight="1">
      <c r="G960" s="5"/>
      <c r="I960" s="6"/>
    </row>
    <row r="961" ht="15.75" customHeight="1">
      <c r="G961" s="5"/>
      <c r="I961" s="6"/>
    </row>
    <row r="962" ht="15.75" customHeight="1">
      <c r="G962" s="5"/>
      <c r="I962" s="6"/>
    </row>
    <row r="963" ht="15.75" customHeight="1">
      <c r="G963" s="5"/>
      <c r="I963" s="6"/>
    </row>
    <row r="964" ht="15.75" customHeight="1">
      <c r="G964" s="5"/>
      <c r="I964" s="6"/>
    </row>
    <row r="965" ht="15.75" customHeight="1">
      <c r="G965" s="5"/>
      <c r="I965" s="6"/>
    </row>
    <row r="966" ht="15.75" customHeight="1">
      <c r="G966" s="5"/>
      <c r="I966" s="6"/>
    </row>
    <row r="967" ht="15.75" customHeight="1">
      <c r="G967" s="5"/>
      <c r="I967" s="6"/>
    </row>
    <row r="968" ht="15.75" customHeight="1">
      <c r="G968" s="5"/>
      <c r="I968" s="6"/>
    </row>
    <row r="969" ht="15.75" customHeight="1">
      <c r="G969" s="5"/>
      <c r="I969" s="6"/>
    </row>
    <row r="970" ht="15.75" customHeight="1">
      <c r="G970" s="5"/>
      <c r="I970" s="6"/>
    </row>
    <row r="971" ht="15.75" customHeight="1">
      <c r="G971" s="5"/>
      <c r="I971" s="6"/>
    </row>
    <row r="972" ht="15.75" customHeight="1">
      <c r="G972" s="5"/>
      <c r="I972" s="6"/>
    </row>
    <row r="973" ht="15.75" customHeight="1">
      <c r="G973" s="5"/>
      <c r="I973" s="6"/>
    </row>
    <row r="974" ht="15.75" customHeight="1">
      <c r="G974" s="5"/>
      <c r="I974" s="6"/>
    </row>
    <row r="975" ht="15.75" customHeight="1">
      <c r="G975" s="5"/>
      <c r="I975" s="6"/>
    </row>
    <row r="976" ht="15.75" customHeight="1">
      <c r="G976" s="5"/>
      <c r="I976" s="6"/>
    </row>
    <row r="977" ht="15.75" customHeight="1">
      <c r="G977" s="5"/>
      <c r="I977" s="6"/>
    </row>
    <row r="978" ht="15.75" customHeight="1">
      <c r="G978" s="5"/>
      <c r="I978" s="6"/>
    </row>
    <row r="979" ht="15.75" customHeight="1">
      <c r="G979" s="5"/>
      <c r="I979" s="6"/>
    </row>
    <row r="980" ht="15.75" customHeight="1">
      <c r="G980" s="5"/>
      <c r="I980" s="6"/>
    </row>
    <row r="981" ht="15.75" customHeight="1">
      <c r="G981" s="5"/>
      <c r="I981" s="6"/>
    </row>
    <row r="982" ht="15.75" customHeight="1">
      <c r="G982" s="5"/>
      <c r="I982" s="6"/>
    </row>
    <row r="983" ht="15.75" customHeight="1">
      <c r="G983" s="5"/>
      <c r="I983" s="6"/>
    </row>
    <row r="984" ht="15.75" customHeight="1">
      <c r="G984" s="5"/>
      <c r="I984" s="6"/>
    </row>
    <row r="985" ht="15.75" customHeight="1">
      <c r="G985" s="5"/>
      <c r="I985" s="6"/>
    </row>
    <row r="986" ht="15.75" customHeight="1">
      <c r="G986" s="5"/>
      <c r="I986" s="6"/>
    </row>
    <row r="987" ht="15.75" customHeight="1">
      <c r="G987" s="5"/>
      <c r="I987" s="6"/>
    </row>
    <row r="988" ht="15.75" customHeight="1">
      <c r="G988" s="5"/>
      <c r="I988" s="6"/>
    </row>
    <row r="989" ht="15.75" customHeight="1">
      <c r="G989" s="5"/>
      <c r="I989" s="6"/>
    </row>
    <row r="990" ht="15.75" customHeight="1">
      <c r="G990" s="5"/>
      <c r="I990" s="6"/>
    </row>
    <row r="991" ht="15.75" customHeight="1">
      <c r="G991" s="5"/>
      <c r="I991" s="6"/>
    </row>
    <row r="992" ht="15.75" customHeight="1">
      <c r="G992" s="5"/>
      <c r="I992" s="6"/>
    </row>
    <row r="993" ht="15.75" customHeight="1">
      <c r="G993" s="5"/>
      <c r="I993" s="6"/>
    </row>
    <row r="994" ht="15.75" customHeight="1">
      <c r="G994" s="5"/>
      <c r="I994" s="6"/>
    </row>
    <row r="995" ht="15.75" customHeight="1">
      <c r="G995" s="5"/>
      <c r="I995" s="6"/>
    </row>
    <row r="996" ht="15.75" customHeight="1">
      <c r="G996" s="5"/>
      <c r="I996" s="6"/>
    </row>
    <row r="997" ht="15.75" customHeight="1">
      <c r="G997" s="5"/>
      <c r="I997" s="6"/>
    </row>
    <row r="998" ht="15.75" customHeight="1">
      <c r="G998" s="5"/>
      <c r="I998" s="6"/>
    </row>
    <row r="999" ht="15.75" customHeight="1">
      <c r="G999" s="5"/>
      <c r="I999" s="6"/>
    </row>
    <row r="1000" ht="15.75" customHeight="1">
      <c r="G1000" s="5"/>
      <c r="I1000" s="6"/>
    </row>
  </sheetData>
  <autoFilter ref="$A$1:$X$1">
    <sortState ref="A1:X1">
      <sortCondition ref="D1"/>
    </sortState>
  </autoFilter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63"/>
    <col customWidth="1" min="2" max="2" width="23.75"/>
    <col customWidth="1" min="3" max="3" width="7.63"/>
    <col customWidth="1" min="4" max="4" width="61.0"/>
    <col customWidth="1" min="5" max="5" width="23.75"/>
    <col customWidth="1" min="6" max="10" width="7.63"/>
    <col customWidth="1" min="11" max="11" width="43.63"/>
    <col customWidth="1" min="12" max="26" width="7.63"/>
  </cols>
  <sheetData>
    <row r="1">
      <c r="A1" s="82" t="s">
        <v>0</v>
      </c>
      <c r="B1" s="82" t="s">
        <v>1</v>
      </c>
      <c r="C1" s="82" t="s">
        <v>2</v>
      </c>
      <c r="D1" s="82" t="s">
        <v>3</v>
      </c>
      <c r="E1" s="82" t="s">
        <v>4</v>
      </c>
      <c r="F1" s="82" t="s">
        <v>5</v>
      </c>
      <c r="G1" s="83" t="s">
        <v>255</v>
      </c>
      <c r="H1" s="82" t="s">
        <v>9</v>
      </c>
      <c r="I1" s="84" t="s">
        <v>10</v>
      </c>
      <c r="K1" s="88" t="s">
        <v>12</v>
      </c>
      <c r="L1" s="89" t="s">
        <v>13</v>
      </c>
      <c r="M1" s="89" t="s">
        <v>14</v>
      </c>
    </row>
    <row r="2">
      <c r="A2" s="30" t="s">
        <v>15</v>
      </c>
      <c r="B2" s="30" t="s">
        <v>142</v>
      </c>
      <c r="C2" s="30" t="s">
        <v>204</v>
      </c>
      <c r="D2" s="85" t="s">
        <v>143</v>
      </c>
      <c r="E2" s="30" t="s">
        <v>142</v>
      </c>
      <c r="F2" s="30" t="s">
        <v>126</v>
      </c>
      <c r="G2" s="5">
        <v>93600.0</v>
      </c>
      <c r="H2" s="30">
        <v>121900.0</v>
      </c>
      <c r="I2" s="6">
        <v>0.12</v>
      </c>
    </row>
    <row r="3">
      <c r="A3" s="30" t="s">
        <v>15</v>
      </c>
      <c r="B3" s="30" t="s">
        <v>177</v>
      </c>
      <c r="C3" s="30" t="s">
        <v>204</v>
      </c>
      <c r="D3" s="85" t="s">
        <v>178</v>
      </c>
      <c r="E3" s="30" t="s">
        <v>177</v>
      </c>
      <c r="F3" s="30" t="s">
        <v>126</v>
      </c>
      <c r="G3" s="5">
        <v>79300.0</v>
      </c>
      <c r="H3" s="30">
        <v>137800.0</v>
      </c>
      <c r="I3" s="6">
        <v>0.1</v>
      </c>
    </row>
    <row r="4">
      <c r="A4" s="30" t="s">
        <v>15</v>
      </c>
      <c r="B4" s="30" t="s">
        <v>124</v>
      </c>
      <c r="C4" s="30" t="s">
        <v>204</v>
      </c>
      <c r="D4" s="85" t="s">
        <v>125</v>
      </c>
      <c r="E4" s="30" t="s">
        <v>124</v>
      </c>
      <c r="F4" s="30" t="s">
        <v>126</v>
      </c>
      <c r="G4" s="5">
        <v>18200.0</v>
      </c>
      <c r="H4" s="30">
        <v>18200.0</v>
      </c>
      <c r="I4" s="6">
        <v>0.14</v>
      </c>
    </row>
    <row r="5">
      <c r="A5" s="30" t="s">
        <v>15</v>
      </c>
      <c r="B5" s="30" t="s">
        <v>137</v>
      </c>
      <c r="C5" s="30" t="s">
        <v>204</v>
      </c>
      <c r="D5" s="85" t="s">
        <v>138</v>
      </c>
      <c r="E5" s="30" t="s">
        <v>137</v>
      </c>
      <c r="F5" s="30" t="s">
        <v>126</v>
      </c>
      <c r="G5" s="5">
        <v>15600.0</v>
      </c>
      <c r="H5" s="30">
        <v>15600.0</v>
      </c>
      <c r="I5" s="6">
        <v>0.13</v>
      </c>
      <c r="K5" s="30" t="s">
        <v>256</v>
      </c>
      <c r="L5" s="30">
        <v>0.13</v>
      </c>
      <c r="M5" s="30">
        <v>0.13</v>
      </c>
    </row>
    <row r="6">
      <c r="A6" s="30" t="s">
        <v>15</v>
      </c>
      <c r="B6" s="30" t="s">
        <v>174</v>
      </c>
      <c r="C6" s="30" t="s">
        <v>204</v>
      </c>
      <c r="D6" s="85" t="s">
        <v>175</v>
      </c>
      <c r="E6" s="30" t="s">
        <v>215</v>
      </c>
      <c r="F6" s="30" t="s">
        <v>126</v>
      </c>
      <c r="G6" s="5">
        <v>11000.0</v>
      </c>
      <c r="H6" s="30">
        <v>20000.0</v>
      </c>
      <c r="I6" s="6">
        <v>0.31</v>
      </c>
    </row>
    <row r="7">
      <c r="A7" s="30" t="s">
        <v>15</v>
      </c>
      <c r="B7" s="30" t="s">
        <v>150</v>
      </c>
      <c r="C7" s="30" t="s">
        <v>23</v>
      </c>
      <c r="D7" s="85" t="s">
        <v>151</v>
      </c>
      <c r="E7" s="30" t="s">
        <v>152</v>
      </c>
      <c r="F7" s="30" t="s">
        <v>126</v>
      </c>
      <c r="G7" s="5">
        <v>5600.0</v>
      </c>
      <c r="H7" s="30">
        <v>16800.0</v>
      </c>
      <c r="I7" s="6">
        <v>0.35</v>
      </c>
    </row>
    <row r="8">
      <c r="A8" s="30" t="s">
        <v>15</v>
      </c>
      <c r="B8" s="30" t="s">
        <v>141</v>
      </c>
      <c r="C8" s="30" t="s">
        <v>23</v>
      </c>
      <c r="D8" s="85" t="s">
        <v>30</v>
      </c>
      <c r="E8" s="30" t="s">
        <v>141</v>
      </c>
      <c r="F8" s="30" t="s">
        <v>126</v>
      </c>
      <c r="G8" s="5">
        <v>0.0</v>
      </c>
      <c r="H8" s="30">
        <v>0.0</v>
      </c>
      <c r="I8" s="6">
        <v>0.14</v>
      </c>
      <c r="K8" s="30" t="s">
        <v>257</v>
      </c>
      <c r="L8" s="30">
        <v>0.13</v>
      </c>
      <c r="M8" s="30">
        <v>0.13</v>
      </c>
    </row>
    <row r="9">
      <c r="A9" s="30" t="s">
        <v>15</v>
      </c>
      <c r="B9" s="30" t="s">
        <v>171</v>
      </c>
      <c r="C9" s="30" t="s">
        <v>204</v>
      </c>
      <c r="D9" s="85" t="s">
        <v>172</v>
      </c>
      <c r="E9" s="30" t="s">
        <v>173</v>
      </c>
      <c r="F9" s="30" t="s">
        <v>126</v>
      </c>
      <c r="G9" s="5">
        <v>0.0</v>
      </c>
      <c r="H9" s="30">
        <v>4705.0</v>
      </c>
      <c r="I9" s="6">
        <v>0.12</v>
      </c>
    </row>
    <row r="10">
      <c r="A10" s="30" t="s">
        <v>15</v>
      </c>
      <c r="B10" s="30" t="s">
        <v>139</v>
      </c>
      <c r="C10" s="30" t="s">
        <v>204</v>
      </c>
      <c r="D10" s="85" t="s">
        <v>140</v>
      </c>
      <c r="E10" s="30" t="s">
        <v>139</v>
      </c>
      <c r="F10" s="30" t="s">
        <v>126</v>
      </c>
      <c r="G10" s="5">
        <v>0.0</v>
      </c>
      <c r="H10" s="30">
        <v>0.0</v>
      </c>
      <c r="I10" s="6">
        <v>0.11</v>
      </c>
    </row>
    <row r="11">
      <c r="A11" s="30" t="s">
        <v>15</v>
      </c>
      <c r="B11" s="30" t="s">
        <v>165</v>
      </c>
      <c r="C11" s="30" t="s">
        <v>204</v>
      </c>
      <c r="D11" s="85" t="s">
        <v>166</v>
      </c>
      <c r="E11" s="30" t="s">
        <v>165</v>
      </c>
      <c r="F11" s="30" t="s">
        <v>126</v>
      </c>
      <c r="G11" s="5">
        <v>0.0</v>
      </c>
      <c r="H11" s="30">
        <v>0.0</v>
      </c>
      <c r="I11" s="6">
        <v>0.0</v>
      </c>
    </row>
    <row r="12">
      <c r="A12" s="30" t="s">
        <v>15</v>
      </c>
      <c r="B12" s="30" t="s">
        <v>169</v>
      </c>
      <c r="C12" s="30" t="s">
        <v>204</v>
      </c>
      <c r="D12" s="85" t="s">
        <v>170</v>
      </c>
      <c r="E12" s="30" t="s">
        <v>169</v>
      </c>
      <c r="F12" s="30" t="s">
        <v>126</v>
      </c>
      <c r="G12" s="5">
        <v>0.0</v>
      </c>
      <c r="H12" s="30">
        <v>0.0</v>
      </c>
      <c r="I12" s="6">
        <v>0.17</v>
      </c>
    </row>
    <row r="13">
      <c r="A13" s="30" t="s">
        <v>15</v>
      </c>
      <c r="B13" s="30" t="s">
        <v>131</v>
      </c>
      <c r="C13" s="30" t="s">
        <v>23</v>
      </c>
      <c r="D13" s="85" t="s">
        <v>132</v>
      </c>
      <c r="E13" s="30" t="s">
        <v>131</v>
      </c>
      <c r="F13" s="30" t="s">
        <v>126</v>
      </c>
      <c r="G13" s="5">
        <v>0.0</v>
      </c>
      <c r="H13" s="30">
        <v>0.0</v>
      </c>
      <c r="I13" s="6">
        <v>0.17</v>
      </c>
    </row>
    <row r="14">
      <c r="A14" s="30" t="s">
        <v>15</v>
      </c>
      <c r="B14" s="30" t="s">
        <v>161</v>
      </c>
      <c r="C14" s="30" t="s">
        <v>23</v>
      </c>
      <c r="D14" s="85" t="s">
        <v>162</v>
      </c>
      <c r="E14" s="30" t="s">
        <v>161</v>
      </c>
      <c r="F14" s="30" t="s">
        <v>126</v>
      </c>
      <c r="G14" s="5">
        <v>0.0</v>
      </c>
      <c r="H14" s="30">
        <v>0.0</v>
      </c>
      <c r="I14" s="6">
        <v>0.17</v>
      </c>
    </row>
    <row r="15">
      <c r="A15" s="30" t="s">
        <v>15</v>
      </c>
      <c r="B15" s="30" t="s">
        <v>167</v>
      </c>
      <c r="C15" s="30" t="s">
        <v>204</v>
      </c>
      <c r="D15" s="85" t="s">
        <v>168</v>
      </c>
      <c r="E15" s="30" t="s">
        <v>167</v>
      </c>
      <c r="F15" s="30" t="s">
        <v>126</v>
      </c>
      <c r="G15" s="5">
        <v>0.0</v>
      </c>
      <c r="H15" s="30">
        <v>39000.0</v>
      </c>
      <c r="I15" s="6">
        <v>0.15</v>
      </c>
    </row>
    <row r="16">
      <c r="A16" s="30" t="s">
        <v>15</v>
      </c>
      <c r="B16" s="30" t="s">
        <v>146</v>
      </c>
      <c r="C16" s="30" t="s">
        <v>23</v>
      </c>
      <c r="D16" s="85" t="s">
        <v>147</v>
      </c>
      <c r="E16" s="30" t="s">
        <v>146</v>
      </c>
      <c r="F16" s="30" t="s">
        <v>126</v>
      </c>
      <c r="G16" s="5">
        <v>0.0</v>
      </c>
      <c r="H16" s="30">
        <v>0.0</v>
      </c>
      <c r="I16" s="6">
        <v>0.19</v>
      </c>
      <c r="K16" s="30" t="s">
        <v>258</v>
      </c>
      <c r="L16" s="30">
        <v>0.19</v>
      </c>
      <c r="M16" s="30">
        <v>0.2</v>
      </c>
    </row>
    <row r="17">
      <c r="A17" s="30" t="s">
        <v>15</v>
      </c>
      <c r="B17" s="30" t="s">
        <v>153</v>
      </c>
      <c r="C17" s="30" t="s">
        <v>23</v>
      </c>
      <c r="D17" s="85" t="s">
        <v>154</v>
      </c>
      <c r="E17" s="30" t="s">
        <v>153</v>
      </c>
      <c r="F17" s="30" t="s">
        <v>126</v>
      </c>
      <c r="G17" s="5">
        <v>0.0</v>
      </c>
      <c r="H17" s="30">
        <v>0.0</v>
      </c>
      <c r="I17" s="6">
        <v>0.2</v>
      </c>
      <c r="K17" s="30" t="s">
        <v>259</v>
      </c>
      <c r="L17" s="30">
        <v>0.2</v>
      </c>
      <c r="M17" s="30">
        <v>0.21</v>
      </c>
    </row>
    <row r="18">
      <c r="A18" s="30" t="s">
        <v>15</v>
      </c>
      <c r="B18" s="30" t="s">
        <v>148</v>
      </c>
      <c r="C18" s="30" t="s">
        <v>204</v>
      </c>
      <c r="D18" s="85" t="s">
        <v>149</v>
      </c>
      <c r="E18" s="30" t="s">
        <v>148</v>
      </c>
      <c r="F18" s="30" t="s">
        <v>126</v>
      </c>
      <c r="G18" s="5">
        <v>0.0</v>
      </c>
      <c r="H18" s="30">
        <v>0.0</v>
      </c>
      <c r="I18" s="6">
        <v>0.15</v>
      </c>
      <c r="K18" s="30" t="s">
        <v>260</v>
      </c>
      <c r="L18" s="30">
        <v>0.15</v>
      </c>
      <c r="M18" s="30">
        <v>0.17</v>
      </c>
    </row>
    <row r="19" hidden="1">
      <c r="A19" s="30" t="s">
        <v>15</v>
      </c>
      <c r="B19" s="30" t="s">
        <v>107</v>
      </c>
      <c r="C19" s="30" t="s">
        <v>204</v>
      </c>
      <c r="D19" s="86" t="s">
        <v>108</v>
      </c>
      <c r="E19" s="30" t="s">
        <v>109</v>
      </c>
      <c r="F19" s="30" t="s">
        <v>19</v>
      </c>
      <c r="G19" s="5">
        <v>28224.0</v>
      </c>
      <c r="H19" s="30">
        <v>153768.0</v>
      </c>
      <c r="I19" s="6">
        <v>0.11</v>
      </c>
    </row>
    <row r="20" hidden="1">
      <c r="A20" s="30" t="s">
        <v>15</v>
      </c>
      <c r="B20" s="30" t="s">
        <v>38</v>
      </c>
      <c r="C20" s="30" t="s">
        <v>23</v>
      </c>
      <c r="D20" s="86" t="s">
        <v>39</v>
      </c>
      <c r="E20" s="30" t="s">
        <v>40</v>
      </c>
      <c r="F20" s="30" t="s">
        <v>19</v>
      </c>
      <c r="G20" s="5">
        <v>18050.0</v>
      </c>
      <c r="H20" s="30">
        <v>18050.0</v>
      </c>
      <c r="I20" s="6">
        <v>0.2</v>
      </c>
    </row>
    <row r="21" ht="15.75" hidden="1" customHeight="1">
      <c r="A21" s="30" t="s">
        <v>15</v>
      </c>
      <c r="B21" s="30" t="s">
        <v>72</v>
      </c>
      <c r="C21" s="30" t="s">
        <v>23</v>
      </c>
      <c r="D21" s="86" t="s">
        <v>73</v>
      </c>
      <c r="E21" s="30" t="s">
        <v>74</v>
      </c>
      <c r="F21" s="30" t="s">
        <v>19</v>
      </c>
      <c r="G21" s="5">
        <v>10626.0</v>
      </c>
      <c r="H21" s="30">
        <v>10626.0</v>
      </c>
      <c r="I21" s="6">
        <v>0.2</v>
      </c>
    </row>
    <row r="22" ht="15.75" hidden="1" customHeight="1">
      <c r="A22" s="30" t="s">
        <v>15</v>
      </c>
      <c r="B22" s="30" t="s">
        <v>29</v>
      </c>
      <c r="C22" s="30" t="s">
        <v>23</v>
      </c>
      <c r="D22" s="86" t="s">
        <v>30</v>
      </c>
      <c r="E22" s="30" t="s">
        <v>31</v>
      </c>
      <c r="F22" s="30" t="s">
        <v>19</v>
      </c>
      <c r="G22" s="5">
        <v>8400.0</v>
      </c>
      <c r="H22" s="30">
        <v>48370.0</v>
      </c>
      <c r="I22" s="6">
        <v>0.13</v>
      </c>
    </row>
    <row r="23" ht="15.75" hidden="1" customHeight="1">
      <c r="A23" s="30" t="s">
        <v>15</v>
      </c>
      <c r="B23" s="30" t="s">
        <v>16</v>
      </c>
      <c r="C23" s="30" t="s">
        <v>204</v>
      </c>
      <c r="D23" s="86" t="s">
        <v>17</v>
      </c>
      <c r="E23" s="30" t="s">
        <v>18</v>
      </c>
      <c r="F23" s="30" t="s">
        <v>19</v>
      </c>
      <c r="G23" s="5">
        <v>6900.0</v>
      </c>
      <c r="H23" s="30">
        <v>29900.0</v>
      </c>
      <c r="I23" s="6">
        <v>0.12</v>
      </c>
    </row>
    <row r="24" ht="15.75" hidden="1" customHeight="1">
      <c r="A24" s="30" t="s">
        <v>15</v>
      </c>
      <c r="B24" s="30" t="s">
        <v>32</v>
      </c>
      <c r="C24" s="30" t="s">
        <v>204</v>
      </c>
      <c r="D24" s="86" t="s">
        <v>207</v>
      </c>
      <c r="E24" s="30" t="s">
        <v>34</v>
      </c>
      <c r="F24" s="30" t="s">
        <v>19</v>
      </c>
      <c r="G24" s="5">
        <v>3744.0</v>
      </c>
      <c r="H24" s="30">
        <v>49724.0</v>
      </c>
      <c r="I24" s="6">
        <v>0.12</v>
      </c>
    </row>
    <row r="25" ht="15.75" hidden="1" customHeight="1">
      <c r="A25" s="30" t="s">
        <v>15</v>
      </c>
      <c r="B25" s="30" t="s">
        <v>116</v>
      </c>
      <c r="C25" s="30" t="s">
        <v>204</v>
      </c>
      <c r="D25" s="86" t="s">
        <v>117</v>
      </c>
      <c r="E25" s="30" t="s">
        <v>118</v>
      </c>
      <c r="F25" s="30" t="s">
        <v>19</v>
      </c>
      <c r="G25" s="5">
        <v>3465.0</v>
      </c>
      <c r="H25" s="30">
        <v>3465.0</v>
      </c>
      <c r="I25" s="6">
        <v>0.0</v>
      </c>
    </row>
    <row r="26" ht="15.75" hidden="1" customHeight="1">
      <c r="A26" s="30" t="s">
        <v>15</v>
      </c>
      <c r="B26" s="30" t="s">
        <v>87</v>
      </c>
      <c r="C26" s="30" t="s">
        <v>204</v>
      </c>
      <c r="D26" s="86" t="s">
        <v>88</v>
      </c>
      <c r="E26" s="30" t="s">
        <v>89</v>
      </c>
      <c r="F26" s="30" t="s">
        <v>19</v>
      </c>
      <c r="G26" s="5">
        <v>1454.0</v>
      </c>
      <c r="H26" s="30">
        <v>52274.0</v>
      </c>
      <c r="I26" s="6">
        <v>0.09</v>
      </c>
    </row>
    <row r="27" ht="15.75" hidden="1" customHeight="1">
      <c r="A27" s="30" t="s">
        <v>15</v>
      </c>
      <c r="B27" s="30" t="s">
        <v>47</v>
      </c>
      <c r="C27" s="30" t="s">
        <v>204</v>
      </c>
      <c r="D27" s="86" t="s">
        <v>48</v>
      </c>
      <c r="E27" s="30" t="s">
        <v>49</v>
      </c>
      <c r="F27" s="30" t="s">
        <v>19</v>
      </c>
      <c r="G27" s="5">
        <v>0.0</v>
      </c>
      <c r="H27" s="30">
        <v>31240.0</v>
      </c>
      <c r="I27" s="6">
        <v>0.21</v>
      </c>
    </row>
    <row r="28" ht="15.75" hidden="1" customHeight="1">
      <c r="A28" s="30" t="s">
        <v>15</v>
      </c>
      <c r="B28" s="30" t="s">
        <v>26</v>
      </c>
      <c r="C28" s="30" t="s">
        <v>204</v>
      </c>
      <c r="D28" s="86" t="s">
        <v>27</v>
      </c>
      <c r="E28" s="30" t="s">
        <v>28</v>
      </c>
      <c r="F28" s="30" t="s">
        <v>19</v>
      </c>
      <c r="G28" s="5">
        <v>0.0</v>
      </c>
      <c r="H28" s="30">
        <v>33600.0</v>
      </c>
      <c r="I28" s="6">
        <v>0.13</v>
      </c>
    </row>
    <row r="29" ht="15.75" hidden="1" customHeight="1">
      <c r="A29" s="30" t="s">
        <v>15</v>
      </c>
      <c r="B29" s="30" t="s">
        <v>44</v>
      </c>
      <c r="C29" s="30" t="s">
        <v>23</v>
      </c>
      <c r="D29" s="86" t="s">
        <v>45</v>
      </c>
      <c r="E29" s="30" t="s">
        <v>46</v>
      </c>
      <c r="F29" s="30" t="s">
        <v>19</v>
      </c>
      <c r="G29" s="5">
        <v>0.0</v>
      </c>
      <c r="H29" s="30">
        <v>0.0</v>
      </c>
      <c r="I29" s="6">
        <v>0.17</v>
      </c>
    </row>
    <row r="30" ht="15.75" hidden="1" customHeight="1">
      <c r="A30" s="30" t="s">
        <v>15</v>
      </c>
      <c r="B30" s="30" t="s">
        <v>110</v>
      </c>
      <c r="C30" s="30" t="s">
        <v>204</v>
      </c>
      <c r="D30" s="86" t="s">
        <v>111</v>
      </c>
      <c r="E30" s="30" t="s">
        <v>112</v>
      </c>
      <c r="F30" s="30" t="s">
        <v>19</v>
      </c>
      <c r="G30" s="5">
        <v>0.0</v>
      </c>
      <c r="H30" s="30">
        <v>1134.0</v>
      </c>
      <c r="I30" s="6">
        <v>0.33</v>
      </c>
    </row>
    <row r="31" ht="15.75" hidden="1" customHeight="1">
      <c r="A31" s="30" t="s">
        <v>15</v>
      </c>
      <c r="B31" s="30" t="s">
        <v>41</v>
      </c>
      <c r="C31" s="30" t="s">
        <v>23</v>
      </c>
      <c r="D31" s="86" t="s">
        <v>42</v>
      </c>
      <c r="E31" s="30" t="s">
        <v>43</v>
      </c>
      <c r="F31" s="30" t="s">
        <v>19</v>
      </c>
      <c r="G31" s="5">
        <v>0.0</v>
      </c>
      <c r="H31" s="30">
        <v>927.0</v>
      </c>
      <c r="I31" s="6">
        <v>0.31</v>
      </c>
    </row>
    <row r="32" ht="15.75" hidden="1" customHeight="1">
      <c r="A32" s="30" t="s">
        <v>15</v>
      </c>
      <c r="B32" s="30" t="s">
        <v>35</v>
      </c>
      <c r="C32" s="30" t="s">
        <v>23</v>
      </c>
      <c r="D32" s="86" t="s">
        <v>36</v>
      </c>
      <c r="E32" s="30" t="s">
        <v>37</v>
      </c>
      <c r="F32" s="30" t="s">
        <v>19</v>
      </c>
      <c r="G32" s="5">
        <v>0.0</v>
      </c>
      <c r="H32" s="30">
        <v>0.0</v>
      </c>
      <c r="I32" s="6">
        <v>0.13</v>
      </c>
    </row>
    <row r="33" ht="15.75" hidden="1" customHeight="1">
      <c r="A33" s="30" t="s">
        <v>15</v>
      </c>
      <c r="B33" s="30" t="s">
        <v>50</v>
      </c>
      <c r="C33" s="30" t="s">
        <v>23</v>
      </c>
      <c r="D33" s="86" t="s">
        <v>51</v>
      </c>
      <c r="E33" s="30" t="s">
        <v>52</v>
      </c>
      <c r="F33" s="30" t="s">
        <v>19</v>
      </c>
      <c r="G33" s="5">
        <v>0.0</v>
      </c>
      <c r="H33" s="30">
        <v>0.0</v>
      </c>
      <c r="I33" s="6">
        <v>0.21</v>
      </c>
    </row>
    <row r="34" ht="15.75" hidden="1" customHeight="1">
      <c r="A34" s="30" t="s">
        <v>15</v>
      </c>
      <c r="B34" s="30" t="s">
        <v>121</v>
      </c>
      <c r="C34" s="30" t="s">
        <v>204</v>
      </c>
      <c r="D34" s="86" t="s">
        <v>122</v>
      </c>
      <c r="E34" s="30" t="s">
        <v>123</v>
      </c>
      <c r="F34" s="30" t="s">
        <v>19</v>
      </c>
      <c r="G34" s="5">
        <v>0.0</v>
      </c>
      <c r="H34" s="30">
        <v>10650.0</v>
      </c>
      <c r="I34" s="6">
        <v>0.18</v>
      </c>
    </row>
    <row r="35" ht="15.75" hidden="1" customHeight="1">
      <c r="A35" s="30" t="s">
        <v>15</v>
      </c>
      <c r="B35" s="30" t="s">
        <v>53</v>
      </c>
      <c r="C35" s="30" t="s">
        <v>204</v>
      </c>
      <c r="D35" s="86" t="s">
        <v>54</v>
      </c>
      <c r="E35" s="30" t="s">
        <v>55</v>
      </c>
      <c r="F35" s="30" t="s">
        <v>19</v>
      </c>
      <c r="G35" s="5">
        <v>0.0</v>
      </c>
      <c r="H35" s="30">
        <v>4000.0</v>
      </c>
      <c r="I35" s="6">
        <v>0.11</v>
      </c>
    </row>
    <row r="36" ht="15.75" hidden="1" customHeight="1">
      <c r="A36" s="30" t="s">
        <v>15</v>
      </c>
      <c r="B36" s="30" t="s">
        <v>84</v>
      </c>
      <c r="C36" s="30" t="s">
        <v>23</v>
      </c>
      <c r="D36" s="86" t="s">
        <v>85</v>
      </c>
      <c r="E36" s="30" t="s">
        <v>86</v>
      </c>
      <c r="F36" s="30" t="s">
        <v>19</v>
      </c>
      <c r="G36" s="5">
        <v>0.0</v>
      </c>
      <c r="H36" s="30">
        <v>20584.0</v>
      </c>
      <c r="I36" s="6">
        <v>0.1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I$36">
    <filterColumn colId="5">
      <filters>
        <filter val="Infia"/>
      </filters>
    </filterColumn>
  </autoFilter>
  <printOptions/>
  <pageMargins bottom="0.75" footer="0.0" header="0.0" left="0.7" right="0.7" top="0.75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2025-02-21T11:21:27Z</dcterms:created>
  <dc:creator>Renata Amanowicz</dc:creator>
</cp:coreProperties>
</file>