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skawka tunelowa" sheetId="1" r:id="rId5"/>
    <sheet state="visible" name="Truskawka szklarniowa" sheetId="2" r:id="rId6"/>
    <sheet state="visible" name="Malina" sheetId="3" r:id="rId7"/>
    <sheet state="visible" name="Jeżyna" sheetId="4" r:id="rId8"/>
    <sheet state="visible" name="Porzeczka" sheetId="5" r:id="rId9"/>
    <sheet state="visible" name="Agrest" sheetId="6" r:id="rId10"/>
    <sheet state="visible" name="Wykres1 Ilość kg Maliny dla San" sheetId="7" r:id="rId11"/>
  </sheets>
  <definedNames/>
  <calcPr/>
</workbook>
</file>

<file path=xl/sharedStrings.xml><?xml version="1.0" encoding="utf-8"?>
<sst xmlns="http://schemas.openxmlformats.org/spreadsheetml/2006/main" count="193" uniqueCount="35">
  <si>
    <t>Pietruszka</t>
  </si>
  <si>
    <t>Sarbinowski</t>
  </si>
  <si>
    <t>Pluta</t>
  </si>
  <si>
    <t>Dróbka</t>
  </si>
  <si>
    <t>Wencel</t>
  </si>
  <si>
    <t>Domasz</t>
  </si>
  <si>
    <t>Janiak</t>
  </si>
  <si>
    <t>SUMA</t>
  </si>
  <si>
    <t xml:space="preserve">numer tygodnia </t>
  </si>
  <si>
    <t>ilość [kg]</t>
  </si>
  <si>
    <t>OGL</t>
  </si>
  <si>
    <t>Dino</t>
  </si>
  <si>
    <t>Biedronka</t>
  </si>
  <si>
    <t>InterMarche</t>
  </si>
  <si>
    <t>Specjał</t>
  </si>
  <si>
    <t>Kaczmarek</t>
  </si>
  <si>
    <t>Kaufland</t>
  </si>
  <si>
    <t>Garden Frutta</t>
  </si>
  <si>
    <t>suma sprzedana</t>
  </si>
  <si>
    <t>suma wyprodukowana</t>
  </si>
  <si>
    <t>różnica</t>
  </si>
  <si>
    <t>Fons</t>
  </si>
  <si>
    <t>Lipczyński</t>
  </si>
  <si>
    <t>Sobkowiak</t>
  </si>
  <si>
    <t xml:space="preserve">Podział na klientów - Malina </t>
  </si>
  <si>
    <t>Frutania</t>
  </si>
  <si>
    <t>SanLucar</t>
  </si>
  <si>
    <t>Special Fruit</t>
  </si>
  <si>
    <t>Berry World</t>
  </si>
  <si>
    <t>Spar</t>
  </si>
  <si>
    <t>SUMA sprzedana</t>
  </si>
  <si>
    <t>SUMA produkcji</t>
  </si>
  <si>
    <t>Różnica</t>
  </si>
  <si>
    <t>Numer Tygodnia</t>
  </si>
  <si>
    <t>Ilość [kg] (SanLucar)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</si>
</sst>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sz val="11.0"/>
      <color rgb="FF000000"/>
      <name val="&quot;Aptos Narrow&quot;"/>
    </font>
    <font>
      <sz val="11.0"/>
      <color rgb="FF000000"/>
      <name val="Calibri"/>
    </font>
    <font>
      <sz val="10.0"/>
      <color theme="1"/>
      <name val="Aptos Narrow"/>
    </font>
    <font>
      <sz val="11.0"/>
      <color theme="1"/>
      <name val="Arial"/>
      <scheme val="minor"/>
    </font>
    <font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13.0"/>
      <color theme="1"/>
      <name val="Arial"/>
      <scheme val="minor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6D9EEB"/>
        <bgColor rgb="FF6D9EEB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1" fillId="3" fontId="4" numFmtId="0" xfId="0" applyAlignment="1" applyBorder="1" applyFill="1" applyFont="1">
      <alignment horizontal="center" vertical="bottom"/>
    </xf>
    <xf borderId="1" fillId="2" fontId="5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vertical="bottom"/>
    </xf>
    <xf borderId="3" fillId="3" fontId="6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6" fillId="0" fontId="2" numFmtId="0" xfId="0" applyAlignment="1" applyBorder="1" applyFont="1">
      <alignment readingOrder="0"/>
    </xf>
    <xf borderId="5" fillId="0" fontId="4" numFmtId="0" xfId="0" applyAlignment="1" applyBorder="1" applyFont="1">
      <alignment horizontal="right" vertical="bottom"/>
    </xf>
    <xf borderId="6" fillId="0" fontId="6" numFmtId="0" xfId="0" applyAlignment="1" applyBorder="1" applyFont="1">
      <alignment vertical="bottom"/>
    </xf>
    <xf borderId="7" fillId="0" fontId="2" numFmtId="0" xfId="0" applyAlignment="1" applyBorder="1" applyFont="1">
      <alignment readingOrder="0"/>
    </xf>
    <xf borderId="8" fillId="0" fontId="2" numFmtId="0" xfId="0" applyBorder="1" applyFont="1"/>
    <xf borderId="7" fillId="0" fontId="4" numFmtId="0" xfId="0" applyAlignment="1" applyBorder="1" applyFont="1">
      <alignment horizontal="right" vertical="bottom"/>
    </xf>
    <xf borderId="8" fillId="0" fontId="6" numFmtId="0" xfId="0" applyAlignment="1" applyBorder="1" applyFont="1">
      <alignment vertical="bottom"/>
    </xf>
    <xf borderId="8" fillId="0" fontId="2" numFmtId="0" xfId="0" applyAlignment="1" applyBorder="1" applyFont="1">
      <alignment readingOrder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8" fillId="0" fontId="9" numFmtId="0" xfId="0" applyAlignment="1" applyBorder="1" applyFont="1">
      <alignment horizontal="right" vertical="bottom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9" fillId="0" fontId="4" numFmtId="0" xfId="0" applyAlignment="1" applyBorder="1" applyFont="1">
      <alignment horizontal="right" vertical="bottom"/>
    </xf>
    <xf borderId="10" fillId="0" fontId="6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11" fillId="0" fontId="2" numFmtId="0" xfId="0" applyBorder="1" applyFont="1"/>
    <xf borderId="0" fillId="0" fontId="2" numFmtId="10" xfId="0" applyFont="1" applyNumberFormat="1"/>
    <xf borderId="0" fillId="0" fontId="10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8" fillId="0" fontId="8" numFmtId="0" xfId="0" applyAlignment="1" applyBorder="1" applyFont="1">
      <alignment horizontal="right" readingOrder="0" shrinkToFit="0" vertical="bottom" wrapText="0"/>
    </xf>
    <xf borderId="10" fillId="0" fontId="2" numFmtId="0" xfId="0" applyBorder="1" applyFont="1"/>
    <xf borderId="1" fillId="4" fontId="4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3" fillId="4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  <xf borderId="6" fillId="0" fontId="2" numFmtId="3" xfId="0" applyAlignment="1" applyBorder="1" applyFont="1" applyNumberFormat="1">
      <alignment readingOrder="0"/>
    </xf>
    <xf borderId="6" fillId="0" fontId="4" numFmtId="0" xfId="0" applyAlignment="1" applyBorder="1" applyFont="1">
      <alignment vertical="bottom"/>
    </xf>
    <xf borderId="4" fillId="0" fontId="2" numFmtId="3" xfId="0" applyAlignment="1" applyBorder="1" applyFont="1" applyNumberFormat="1">
      <alignment readingOrder="0"/>
    </xf>
    <xf borderId="8" fillId="0" fontId="2" numFmtId="3" xfId="0" applyAlignment="1" applyBorder="1" applyFont="1" applyNumberFormat="1">
      <alignment readingOrder="0"/>
    </xf>
    <xf borderId="8" fillId="0" fontId="4" numFmtId="0" xfId="0" applyAlignment="1" applyBorder="1" applyFont="1">
      <alignment vertical="bottom"/>
    </xf>
    <xf borderId="12" fillId="0" fontId="2" numFmtId="3" xfId="0" applyAlignment="1" applyBorder="1" applyFont="1" applyNumberFormat="1">
      <alignment readingOrder="0"/>
    </xf>
    <xf borderId="8" fillId="0" fontId="11" numFmtId="0" xfId="0" applyAlignment="1" applyBorder="1" applyFont="1">
      <alignment horizontal="right" readingOrder="0" vertical="bottom"/>
    </xf>
    <xf borderId="8" fillId="0" fontId="4" numFmtId="0" xfId="0" applyAlignment="1" applyBorder="1" applyFont="1">
      <alignment horizontal="right" vertical="bottom"/>
    </xf>
    <xf borderId="8" fillId="0" fontId="4" numFmtId="1" xfId="0" applyAlignment="1" applyBorder="1" applyFont="1" applyNumberFormat="1">
      <alignment horizontal="right" vertical="bottom"/>
    </xf>
    <xf borderId="8" fillId="0" fontId="12" numFmtId="1" xfId="0" applyAlignment="1" applyBorder="1" applyFont="1" applyNumberFormat="1">
      <alignment horizontal="right" readingOrder="0" shrinkToFit="0" vertical="bottom" wrapText="0"/>
    </xf>
    <xf borderId="8" fillId="0" fontId="13" numFmtId="1" xfId="0" applyAlignment="1" applyBorder="1" applyFont="1" applyNumberFormat="1">
      <alignment horizontal="right" readingOrder="0" shrinkToFit="0" vertical="bottom" wrapText="0"/>
    </xf>
    <xf borderId="8" fillId="0" fontId="4" numFmtId="1" xfId="0" applyAlignment="1" applyBorder="1" applyFont="1" applyNumberFormat="1">
      <alignment vertical="bottom"/>
    </xf>
    <xf borderId="10" fillId="0" fontId="11" numFmtId="0" xfId="0" applyAlignment="1" applyBorder="1" applyFont="1">
      <alignment horizontal="right" readingOrder="0" vertical="bottom"/>
    </xf>
    <xf borderId="10" fillId="0" fontId="2" numFmtId="3" xfId="0" applyAlignment="1" applyBorder="1" applyFont="1" applyNumberFormat="1">
      <alignment readingOrder="0"/>
    </xf>
    <xf borderId="10" fillId="0" fontId="4" numFmtId="1" xfId="0" applyAlignment="1" applyBorder="1" applyFont="1" applyNumberFormat="1">
      <alignment vertical="bottom"/>
    </xf>
    <xf borderId="0" fillId="0" fontId="10" numFmtId="0" xfId="0" applyAlignment="1" applyFont="1">
      <alignment readingOrder="0"/>
    </xf>
    <xf borderId="0" fillId="0" fontId="2" numFmtId="3" xfId="0" applyFont="1" applyNumberFormat="1"/>
    <xf borderId="0" fillId="0" fontId="4" numFmtId="1" xfId="0" applyAlignment="1" applyFont="1" applyNumberFormat="1">
      <alignment horizontal="right" vertical="bottom"/>
    </xf>
    <xf borderId="11" fillId="0" fontId="2" numFmtId="3" xfId="0" applyAlignment="1" applyBorder="1" applyFont="1" applyNumberFormat="1">
      <alignment readingOrder="0"/>
    </xf>
    <xf borderId="0" fillId="0" fontId="14" numFmtId="0" xfId="0" applyAlignment="1" applyFont="1">
      <alignment readingOrder="0"/>
    </xf>
    <xf borderId="0" fillId="0" fontId="10" numFmtId="9" xfId="0" applyAlignment="1" applyFont="1" applyNumberFormat="1">
      <alignment readingOrder="0"/>
    </xf>
    <xf borderId="6" fillId="0" fontId="2" numFmtId="1" xfId="0" applyBorder="1" applyFont="1" applyNumberFormat="1"/>
    <xf borderId="8" fillId="0" fontId="2" numFmtId="1" xfId="0" applyBorder="1" applyFont="1" applyNumberFormat="1"/>
    <xf borderId="10" fillId="0" fontId="2" numFmtId="1" xfId="0" applyBorder="1" applyFont="1" applyNumberFormat="1"/>
    <xf borderId="0" fillId="0" fontId="2" numFmtId="1" xfId="0" applyFont="1" applyNumberFormat="1"/>
    <xf borderId="0" fillId="0" fontId="15" numFmtId="0" xfId="0" applyAlignment="1" applyFont="1">
      <alignment readingOrder="0"/>
    </xf>
    <xf borderId="0" fillId="0" fontId="15" numFmtId="1" xfId="0" applyFont="1" applyNumberFormat="1"/>
    <xf borderId="0" fillId="0" fontId="15" numFmtId="3" xfId="0" applyFont="1" applyNumberFormat="1"/>
    <xf borderId="4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2" fillId="0" fontId="2" numFmtId="1" xfId="0" applyAlignment="1" applyBorder="1" applyFont="1" applyNumberFormat="1">
      <alignment readingOrder="0"/>
    </xf>
    <xf borderId="10" fillId="0" fontId="4" numFmtId="0" xfId="0" applyAlignment="1" applyBorder="1" applyFont="1">
      <alignment vertical="bottom"/>
    </xf>
    <xf borderId="11" fillId="0" fontId="2" numFmtId="1" xfId="0" applyAlignment="1" applyBorder="1" applyFont="1" applyNumberFormat="1">
      <alignment readingOrder="0"/>
    </xf>
    <xf borderId="8" fillId="0" fontId="7" numFmtId="1" xfId="0" applyAlignment="1" applyBorder="1" applyFont="1" applyNumberFormat="1">
      <alignment horizontal="right" readingOrder="0" shrinkToFit="0" vertical="bottom" wrapText="0"/>
    </xf>
    <xf borderId="10" fillId="0" fontId="7" numFmtId="1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Wykres1 Ilość kg Maliny dla San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'Wykres1 Ilość kg Maliny dla San'!$A$4:$A$28</c:f>
            </c:strRef>
          </c:cat>
          <c:val>
            <c:numRef>
              <c:f>'Wykres1 Ilość kg Maliny dla San'!$B$4:$B$28</c:f>
              <c:numCache/>
            </c:numRef>
          </c:val>
          <c:smooth val="0"/>
        </c:ser>
        <c:axId val="1564844056"/>
        <c:axId val="1699520517"/>
      </c:lineChart>
      <c:catAx>
        <c:axId val="1564844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520517"/>
      </c:catAx>
      <c:valAx>
        <c:axId val="1699520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844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542925</xdr:colOff>
      <xdr:row>94</xdr:row>
      <xdr:rowOff>104775</xdr:rowOff>
    </xdr:from>
    <xdr:ext cx="12620625" cy="7791450"/>
    <xdr:pic>
      <xdr:nvPicPr>
        <xdr:cNvPr id="421871937" name="Chart1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504825</xdr:colOff>
      <xdr:row>5</xdr:row>
      <xdr:rowOff>47625</xdr:rowOff>
    </xdr:from>
    <xdr:ext cx="5715000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28" displayName="Ilość_kg_Maliny_dla_SanLucar_wg_Numeru_Tygodnia" name="Ilość_kg_Maliny_dla_SanLucar_wg_Numeru_Tygodnia" id="1">
  <tableColumns count="2">
    <tableColumn name="Numer Tygodnia" id="1"/>
    <tableColumn name="Ilość [kg] (SanLucar)" id="2"/>
  </tableColumns>
  <tableStyleInfo name="Wykres1 Ilość kg Maliny dla S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8.38"/>
  </cols>
  <sheetData>
    <row r="1">
      <c r="U1" s="1"/>
    </row>
    <row r="2">
      <c r="U2" s="1"/>
    </row>
    <row r="3">
      <c r="U3" s="1"/>
    </row>
    <row r="4">
      <c r="U4" s="1"/>
    </row>
    <row r="5">
      <c r="B5" s="2" t="s">
        <v>0</v>
      </c>
      <c r="C5" s="3"/>
      <c r="E5" s="2" t="s">
        <v>1</v>
      </c>
      <c r="F5" s="3"/>
      <c r="H5" s="2" t="s">
        <v>2</v>
      </c>
      <c r="I5" s="3"/>
      <c r="K5" s="2" t="s">
        <v>3</v>
      </c>
      <c r="L5" s="3"/>
      <c r="N5" s="2" t="s">
        <v>4</v>
      </c>
      <c r="O5" s="3"/>
      <c r="Q5" s="2" t="s">
        <v>5</v>
      </c>
      <c r="R5" s="3"/>
      <c r="T5" s="4" t="s">
        <v>6</v>
      </c>
      <c r="U5" s="3"/>
      <c r="X5" s="5" t="s">
        <v>7</v>
      </c>
      <c r="Y5" s="3"/>
    </row>
    <row r="6">
      <c r="B6" s="6" t="s">
        <v>8</v>
      </c>
      <c r="C6" s="6" t="s">
        <v>9</v>
      </c>
      <c r="E6" s="6" t="s">
        <v>8</v>
      </c>
      <c r="F6" s="6" t="s">
        <v>9</v>
      </c>
      <c r="H6" s="6" t="s">
        <v>8</v>
      </c>
      <c r="I6" s="6" t="s">
        <v>9</v>
      </c>
      <c r="K6" s="6" t="s">
        <v>8</v>
      </c>
      <c r="L6" s="6" t="s">
        <v>9</v>
      </c>
      <c r="N6" s="6" t="s">
        <v>8</v>
      </c>
      <c r="O6" s="6" t="s">
        <v>9</v>
      </c>
      <c r="Q6" s="6" t="s">
        <v>8</v>
      </c>
      <c r="R6" s="6" t="s">
        <v>9</v>
      </c>
      <c r="T6" s="7" t="s">
        <v>8</v>
      </c>
      <c r="U6" s="8" t="s">
        <v>9</v>
      </c>
      <c r="X6" s="6" t="s">
        <v>8</v>
      </c>
      <c r="Y6" s="9" t="s">
        <v>9</v>
      </c>
    </row>
    <row r="7">
      <c r="B7" s="10">
        <v>14.0</v>
      </c>
      <c r="C7" s="11"/>
      <c r="E7" s="10">
        <v>14.0</v>
      </c>
      <c r="F7" s="11"/>
      <c r="H7" s="10">
        <v>14.0</v>
      </c>
      <c r="I7" s="11"/>
      <c r="K7" s="10">
        <v>14.0</v>
      </c>
      <c r="L7" s="11"/>
      <c r="N7" s="10">
        <v>14.0</v>
      </c>
      <c r="O7" s="12"/>
      <c r="Q7" s="10">
        <v>14.0</v>
      </c>
      <c r="R7" s="12"/>
      <c r="T7" s="13">
        <v>14.0</v>
      </c>
      <c r="U7" s="14"/>
      <c r="X7" s="10">
        <v>14.0</v>
      </c>
      <c r="Y7" s="11">
        <f t="shared" ref="Y7:Y40" si="1">SUM(R7,O7,L7,I7,F7,C7,U7)</f>
        <v>0</v>
      </c>
    </row>
    <row r="8">
      <c r="B8" s="15">
        <v>15.0</v>
      </c>
      <c r="C8" s="16"/>
      <c r="E8" s="15">
        <v>15.0</v>
      </c>
      <c r="F8" s="16"/>
      <c r="H8" s="15">
        <v>15.0</v>
      </c>
      <c r="I8" s="16"/>
      <c r="K8" s="15">
        <v>15.0</v>
      </c>
      <c r="L8" s="16"/>
      <c r="N8" s="15">
        <v>15.0</v>
      </c>
      <c r="O8" s="16"/>
      <c r="Q8" s="15">
        <v>15.0</v>
      </c>
      <c r="R8" s="16"/>
      <c r="T8" s="17">
        <v>15.0</v>
      </c>
      <c r="U8" s="18"/>
      <c r="X8" s="15">
        <v>15.0</v>
      </c>
      <c r="Y8" s="16">
        <f t="shared" si="1"/>
        <v>0</v>
      </c>
    </row>
    <row r="9">
      <c r="B9" s="15">
        <v>16.0</v>
      </c>
      <c r="C9" s="19"/>
      <c r="E9" s="15">
        <v>16.0</v>
      </c>
      <c r="F9" s="16"/>
      <c r="H9" s="15">
        <v>16.0</v>
      </c>
      <c r="I9" s="16"/>
      <c r="K9" s="15">
        <v>16.0</v>
      </c>
      <c r="L9" s="16"/>
      <c r="N9" s="15">
        <v>16.0</v>
      </c>
      <c r="O9" s="16"/>
      <c r="Q9" s="15">
        <v>16.0</v>
      </c>
      <c r="R9" s="16"/>
      <c r="T9" s="17">
        <v>16.0</v>
      </c>
      <c r="U9" s="18"/>
      <c r="X9" s="15">
        <v>16.0</v>
      </c>
      <c r="Y9" s="16">
        <f t="shared" si="1"/>
        <v>0</v>
      </c>
    </row>
    <row r="10">
      <c r="B10" s="15">
        <v>17.0</v>
      </c>
      <c r="C10" s="19"/>
      <c r="E10" s="15">
        <v>17.0</v>
      </c>
      <c r="F10" s="16"/>
      <c r="H10" s="15">
        <v>17.0</v>
      </c>
      <c r="I10" s="16"/>
      <c r="K10" s="15">
        <v>17.0</v>
      </c>
      <c r="L10" s="16"/>
      <c r="N10" s="15">
        <v>17.0</v>
      </c>
      <c r="O10" s="16"/>
      <c r="Q10" s="15">
        <v>17.0</v>
      </c>
      <c r="R10" s="16"/>
      <c r="T10" s="17">
        <v>17.0</v>
      </c>
      <c r="U10" s="18"/>
      <c r="X10" s="15">
        <v>17.0</v>
      </c>
      <c r="Y10" s="16">
        <f t="shared" si="1"/>
        <v>0</v>
      </c>
    </row>
    <row r="11">
      <c r="B11" s="15">
        <v>18.0</v>
      </c>
      <c r="C11" s="19"/>
      <c r="E11" s="15">
        <v>18.0</v>
      </c>
      <c r="F11" s="16"/>
      <c r="H11" s="15">
        <v>18.0</v>
      </c>
      <c r="I11" s="16"/>
      <c r="K11" s="15">
        <v>18.0</v>
      </c>
      <c r="L11" s="16"/>
      <c r="N11" s="15">
        <v>18.0</v>
      </c>
      <c r="O11" s="16"/>
      <c r="Q11" s="15">
        <v>18.0</v>
      </c>
      <c r="R11" s="16"/>
      <c r="T11" s="17">
        <v>18.0</v>
      </c>
      <c r="U11" s="18"/>
      <c r="X11" s="15">
        <v>18.0</v>
      </c>
      <c r="Y11" s="16">
        <f t="shared" si="1"/>
        <v>0</v>
      </c>
    </row>
    <row r="12">
      <c r="B12" s="15">
        <v>19.0</v>
      </c>
      <c r="C12" s="19">
        <v>1500.0</v>
      </c>
      <c r="E12" s="15">
        <v>19.0</v>
      </c>
      <c r="F12" s="16"/>
      <c r="H12" s="15">
        <v>19.0</v>
      </c>
      <c r="I12" s="16"/>
      <c r="J12" s="20"/>
      <c r="K12" s="15">
        <v>19.0</v>
      </c>
      <c r="L12" s="16"/>
      <c r="N12" s="15">
        <v>19.0</v>
      </c>
      <c r="O12" s="16"/>
      <c r="Q12" s="15">
        <v>19.0</v>
      </c>
      <c r="R12" s="16"/>
      <c r="T12" s="17">
        <v>19.0</v>
      </c>
      <c r="U12" s="18"/>
      <c r="X12" s="15">
        <v>19.0</v>
      </c>
      <c r="Y12" s="16">
        <f t="shared" si="1"/>
        <v>1500</v>
      </c>
    </row>
    <row r="13">
      <c r="B13" s="15">
        <v>20.0</v>
      </c>
      <c r="C13" s="19">
        <v>5000.0</v>
      </c>
      <c r="E13" s="15">
        <v>20.0</v>
      </c>
      <c r="F13" s="16"/>
      <c r="H13" s="15">
        <v>20.0</v>
      </c>
      <c r="I13" s="21">
        <v>400.0</v>
      </c>
      <c r="J13" s="20"/>
      <c r="K13" s="15">
        <v>20.0</v>
      </c>
      <c r="L13" s="16"/>
      <c r="N13" s="15">
        <v>20.0</v>
      </c>
      <c r="O13" s="16"/>
      <c r="Q13" s="15">
        <v>20.0</v>
      </c>
      <c r="R13" s="16"/>
      <c r="T13" s="17">
        <v>20.0</v>
      </c>
      <c r="U13" s="22">
        <v>1000.0</v>
      </c>
      <c r="X13" s="15">
        <v>20.0</v>
      </c>
      <c r="Y13" s="16">
        <f t="shared" si="1"/>
        <v>6400</v>
      </c>
    </row>
    <row r="14">
      <c r="B14" s="15">
        <v>21.0</v>
      </c>
      <c r="C14" s="19">
        <v>9000.0</v>
      </c>
      <c r="E14" s="15">
        <v>21.0</v>
      </c>
      <c r="F14" s="16"/>
      <c r="H14" s="15">
        <v>21.0</v>
      </c>
      <c r="I14" s="21">
        <v>1500.0</v>
      </c>
      <c r="J14" s="20"/>
      <c r="K14" s="15">
        <v>21.0</v>
      </c>
      <c r="L14" s="16"/>
      <c r="N14" s="15">
        <v>21.0</v>
      </c>
      <c r="O14" s="16"/>
      <c r="Q14" s="15">
        <v>21.0</v>
      </c>
      <c r="R14" s="16"/>
      <c r="T14" s="17">
        <v>21.0</v>
      </c>
      <c r="U14" s="22">
        <v>2000.0</v>
      </c>
      <c r="X14" s="15">
        <v>21.0</v>
      </c>
      <c r="Y14" s="16">
        <f t="shared" si="1"/>
        <v>12500</v>
      </c>
    </row>
    <row r="15">
      <c r="B15" s="15">
        <v>22.0</v>
      </c>
      <c r="C15" s="19">
        <v>12000.0</v>
      </c>
      <c r="E15" s="15">
        <v>22.0</v>
      </c>
      <c r="F15" s="19">
        <v>9400.0</v>
      </c>
      <c r="H15" s="15">
        <v>22.0</v>
      </c>
      <c r="I15" s="21">
        <v>7000.0</v>
      </c>
      <c r="J15" s="20"/>
      <c r="K15" s="15">
        <v>22.0</v>
      </c>
      <c r="L15" s="16"/>
      <c r="N15" s="15">
        <v>22.0</v>
      </c>
      <c r="O15" s="16"/>
      <c r="Q15" s="15">
        <v>22.0</v>
      </c>
      <c r="R15" s="16"/>
      <c r="T15" s="17">
        <v>22.0</v>
      </c>
      <c r="U15" s="22">
        <v>3000.0</v>
      </c>
      <c r="X15" s="15">
        <v>22.0</v>
      </c>
      <c r="Y15" s="16">
        <f t="shared" si="1"/>
        <v>31400</v>
      </c>
    </row>
    <row r="16">
      <c r="B16" s="15">
        <v>23.0</v>
      </c>
      <c r="C16" s="19">
        <v>10000.0</v>
      </c>
      <c r="E16" s="15">
        <v>23.0</v>
      </c>
      <c r="F16" s="19">
        <v>25400.0</v>
      </c>
      <c r="H16" s="15">
        <v>23.0</v>
      </c>
      <c r="I16" s="21">
        <v>11000.0</v>
      </c>
      <c r="J16" s="20"/>
      <c r="K16" s="15">
        <v>23.0</v>
      </c>
      <c r="L16" s="16"/>
      <c r="N16" s="15">
        <v>23.0</v>
      </c>
      <c r="O16" s="16"/>
      <c r="Q16" s="15">
        <v>23.0</v>
      </c>
      <c r="R16" s="16"/>
      <c r="T16" s="17">
        <v>23.0</v>
      </c>
      <c r="U16" s="22">
        <v>4500.0</v>
      </c>
      <c r="X16" s="15">
        <v>23.0</v>
      </c>
      <c r="Y16" s="16">
        <f t="shared" si="1"/>
        <v>50900</v>
      </c>
    </row>
    <row r="17">
      <c r="B17" s="15">
        <v>24.0</v>
      </c>
      <c r="C17" s="19">
        <v>6000.0</v>
      </c>
      <c r="E17" s="15">
        <v>24.0</v>
      </c>
      <c r="F17" s="19">
        <v>19500.0</v>
      </c>
      <c r="H17" s="15">
        <v>24.0</v>
      </c>
      <c r="I17" s="21">
        <v>7000.0</v>
      </c>
      <c r="J17" s="20"/>
      <c r="K17" s="15">
        <v>24.0</v>
      </c>
      <c r="L17" s="16"/>
      <c r="N17" s="15">
        <v>24.0</v>
      </c>
      <c r="O17" s="16"/>
      <c r="Q17" s="15">
        <v>24.0</v>
      </c>
      <c r="R17" s="16"/>
      <c r="T17" s="17">
        <v>24.0</v>
      </c>
      <c r="U17" s="22">
        <v>2500.0</v>
      </c>
      <c r="X17" s="15">
        <v>24.0</v>
      </c>
      <c r="Y17" s="16">
        <f t="shared" si="1"/>
        <v>35000</v>
      </c>
    </row>
    <row r="18">
      <c r="B18" s="15">
        <v>25.0</v>
      </c>
      <c r="C18" s="19">
        <v>7000.0</v>
      </c>
      <c r="E18" s="15">
        <v>25.0</v>
      </c>
      <c r="F18" s="19">
        <v>19000.0</v>
      </c>
      <c r="H18" s="15">
        <v>25.0</v>
      </c>
      <c r="I18" s="21">
        <v>7000.0</v>
      </c>
      <c r="J18" s="20"/>
      <c r="K18" s="15">
        <v>25.0</v>
      </c>
      <c r="L18" s="16"/>
      <c r="N18" s="15">
        <v>25.0</v>
      </c>
      <c r="O18" s="16"/>
      <c r="Q18" s="15">
        <v>25.0</v>
      </c>
      <c r="R18" s="16"/>
      <c r="T18" s="17">
        <v>25.0</v>
      </c>
      <c r="U18" s="22">
        <v>3000.0</v>
      </c>
      <c r="X18" s="15">
        <v>25.0</v>
      </c>
      <c r="Y18" s="16">
        <f t="shared" si="1"/>
        <v>36000</v>
      </c>
    </row>
    <row r="19">
      <c r="B19" s="15">
        <v>26.0</v>
      </c>
      <c r="C19" s="19">
        <v>9000.0</v>
      </c>
      <c r="E19" s="15">
        <v>26.0</v>
      </c>
      <c r="F19" s="19">
        <v>17000.0</v>
      </c>
      <c r="H19" s="15">
        <v>26.0</v>
      </c>
      <c r="I19" s="21">
        <v>4000.0</v>
      </c>
      <c r="J19" s="20"/>
      <c r="K19" s="15">
        <v>26.0</v>
      </c>
      <c r="L19" s="16"/>
      <c r="N19" s="15">
        <v>26.0</v>
      </c>
      <c r="O19" s="16"/>
      <c r="Q19" s="15">
        <v>26.0</v>
      </c>
      <c r="R19" s="16"/>
      <c r="T19" s="17">
        <v>26.0</v>
      </c>
      <c r="U19" s="22">
        <v>3000.0</v>
      </c>
      <c r="X19" s="15">
        <v>26.0</v>
      </c>
      <c r="Y19" s="16">
        <f t="shared" si="1"/>
        <v>33000</v>
      </c>
    </row>
    <row r="20">
      <c r="B20" s="15">
        <v>27.0</v>
      </c>
      <c r="C20" s="19">
        <v>17000.0</v>
      </c>
      <c r="E20" s="15">
        <v>27.0</v>
      </c>
      <c r="F20" s="19">
        <v>21500.0</v>
      </c>
      <c r="H20" s="15">
        <v>27.0</v>
      </c>
      <c r="I20" s="21">
        <v>3000.0</v>
      </c>
      <c r="J20" s="20"/>
      <c r="K20" s="15">
        <v>27.0</v>
      </c>
      <c r="L20" s="16"/>
      <c r="N20" s="15">
        <v>27.0</v>
      </c>
      <c r="O20" s="16"/>
      <c r="Q20" s="15">
        <v>27.0</v>
      </c>
      <c r="R20" s="16"/>
      <c r="T20" s="17">
        <v>27.0</v>
      </c>
      <c r="U20" s="22">
        <v>3000.0</v>
      </c>
      <c r="X20" s="15">
        <v>27.0</v>
      </c>
      <c r="Y20" s="16">
        <f t="shared" si="1"/>
        <v>44500</v>
      </c>
    </row>
    <row r="21">
      <c r="B21" s="15">
        <v>28.0</v>
      </c>
      <c r="C21" s="19">
        <v>17000.0</v>
      </c>
      <c r="E21" s="15">
        <v>28.0</v>
      </c>
      <c r="F21" s="19">
        <v>21000.0</v>
      </c>
      <c r="H21" s="15">
        <v>28.0</v>
      </c>
      <c r="I21" s="21">
        <v>5000.0</v>
      </c>
      <c r="J21" s="20"/>
      <c r="K21" s="15">
        <v>28.0</v>
      </c>
      <c r="L21" s="16"/>
      <c r="N21" s="15">
        <v>28.0</v>
      </c>
      <c r="O21" s="16"/>
      <c r="Q21" s="15">
        <v>28.0</v>
      </c>
      <c r="R21" s="16"/>
      <c r="T21" s="17">
        <v>28.0</v>
      </c>
      <c r="U21" s="22">
        <v>4000.0</v>
      </c>
      <c r="X21" s="15">
        <v>28.0</v>
      </c>
      <c r="Y21" s="16">
        <f t="shared" si="1"/>
        <v>47000</v>
      </c>
    </row>
    <row r="22">
      <c r="B22" s="15">
        <v>29.0</v>
      </c>
      <c r="C22" s="19">
        <v>17000.0</v>
      </c>
      <c r="E22" s="15">
        <v>29.0</v>
      </c>
      <c r="F22" s="19">
        <v>25000.0</v>
      </c>
      <c r="H22" s="15">
        <v>29.0</v>
      </c>
      <c r="I22" s="21">
        <v>5000.0</v>
      </c>
      <c r="J22" s="20"/>
      <c r="K22" s="15">
        <v>29.0</v>
      </c>
      <c r="L22" s="16"/>
      <c r="N22" s="15">
        <v>29.0</v>
      </c>
      <c r="O22" s="16"/>
      <c r="Q22" s="15">
        <v>29.0</v>
      </c>
      <c r="R22" s="16"/>
      <c r="T22" s="17">
        <v>29.0</v>
      </c>
      <c r="U22" s="22">
        <v>4000.0</v>
      </c>
      <c r="X22" s="15">
        <v>29.0</v>
      </c>
      <c r="Y22" s="16">
        <f t="shared" si="1"/>
        <v>51000</v>
      </c>
    </row>
    <row r="23">
      <c r="B23" s="15">
        <v>30.0</v>
      </c>
      <c r="C23" s="19">
        <v>12000.0</v>
      </c>
      <c r="E23" s="15">
        <v>30.0</v>
      </c>
      <c r="F23" s="19">
        <v>26000.0</v>
      </c>
      <c r="H23" s="15">
        <v>30.0</v>
      </c>
      <c r="I23" s="21">
        <v>5000.0</v>
      </c>
      <c r="J23" s="20"/>
      <c r="K23" s="15">
        <v>30.0</v>
      </c>
      <c r="L23" s="16"/>
      <c r="N23" s="15">
        <v>30.0</v>
      </c>
      <c r="O23" s="16"/>
      <c r="Q23" s="15">
        <v>30.0</v>
      </c>
      <c r="R23" s="16"/>
      <c r="T23" s="17">
        <v>30.0</v>
      </c>
      <c r="U23" s="22">
        <v>4000.0</v>
      </c>
      <c r="X23" s="15">
        <v>30.0</v>
      </c>
      <c r="Y23" s="16">
        <f t="shared" si="1"/>
        <v>47000</v>
      </c>
    </row>
    <row r="24">
      <c r="B24" s="15">
        <v>31.0</v>
      </c>
      <c r="C24" s="19">
        <v>10000.0</v>
      </c>
      <c r="E24" s="15">
        <v>31.0</v>
      </c>
      <c r="F24" s="19">
        <v>19000.0</v>
      </c>
      <c r="H24" s="15">
        <v>31.0</v>
      </c>
      <c r="I24" s="21">
        <v>6000.0</v>
      </c>
      <c r="J24" s="20"/>
      <c r="K24" s="15">
        <v>31.0</v>
      </c>
      <c r="L24" s="16"/>
      <c r="N24" s="15">
        <v>31.0</v>
      </c>
      <c r="O24" s="16"/>
      <c r="Q24" s="15">
        <v>31.0</v>
      </c>
      <c r="R24" s="16"/>
      <c r="T24" s="17">
        <v>31.0</v>
      </c>
      <c r="U24" s="22">
        <v>4000.0</v>
      </c>
      <c r="X24" s="15">
        <v>31.0</v>
      </c>
      <c r="Y24" s="16">
        <f t="shared" si="1"/>
        <v>39000</v>
      </c>
    </row>
    <row r="25">
      <c r="B25" s="15">
        <v>32.0</v>
      </c>
      <c r="C25" s="19">
        <v>5000.0</v>
      </c>
      <c r="E25" s="15">
        <v>32.0</v>
      </c>
      <c r="F25" s="19">
        <v>14500.0</v>
      </c>
      <c r="H25" s="15">
        <v>32.0</v>
      </c>
      <c r="I25" s="21">
        <v>5000.0</v>
      </c>
      <c r="J25" s="20"/>
      <c r="K25" s="15">
        <v>32.0</v>
      </c>
      <c r="L25" s="16"/>
      <c r="N25" s="15">
        <v>32.0</v>
      </c>
      <c r="O25" s="16"/>
      <c r="Q25" s="15">
        <v>32.0</v>
      </c>
      <c r="R25" s="16"/>
      <c r="T25" s="17">
        <v>32.0</v>
      </c>
      <c r="U25" s="22">
        <v>4000.0</v>
      </c>
      <c r="X25" s="15">
        <v>32.0</v>
      </c>
      <c r="Y25" s="16">
        <f t="shared" si="1"/>
        <v>28500</v>
      </c>
    </row>
    <row r="26">
      <c r="B26" s="15">
        <v>33.0</v>
      </c>
      <c r="C26" s="19">
        <v>1000.0</v>
      </c>
      <c r="E26" s="15">
        <v>33.0</v>
      </c>
      <c r="F26" s="19">
        <v>16000.0</v>
      </c>
      <c r="H26" s="15">
        <v>33.0</v>
      </c>
      <c r="I26" s="21">
        <v>5000.0</v>
      </c>
      <c r="J26" s="20"/>
      <c r="K26" s="15">
        <v>33.0</v>
      </c>
      <c r="L26" s="16"/>
      <c r="N26" s="15">
        <v>33.0</v>
      </c>
      <c r="O26" s="16"/>
      <c r="Q26" s="15">
        <v>33.0</v>
      </c>
      <c r="R26" s="16"/>
      <c r="T26" s="17">
        <v>33.0</v>
      </c>
      <c r="U26" s="22">
        <v>3000.0</v>
      </c>
      <c r="X26" s="15">
        <v>33.0</v>
      </c>
      <c r="Y26" s="16">
        <f t="shared" si="1"/>
        <v>25000</v>
      </c>
    </row>
    <row r="27">
      <c r="B27" s="15">
        <v>34.0</v>
      </c>
      <c r="C27" s="19">
        <v>2000.0</v>
      </c>
      <c r="E27" s="15">
        <v>34.0</v>
      </c>
      <c r="F27" s="19">
        <v>12000.0</v>
      </c>
      <c r="H27" s="15">
        <v>34.0</v>
      </c>
      <c r="I27" s="21">
        <v>4500.0</v>
      </c>
      <c r="J27" s="20"/>
      <c r="K27" s="15">
        <v>34.0</v>
      </c>
      <c r="L27" s="16"/>
      <c r="N27" s="15">
        <v>34.0</v>
      </c>
      <c r="O27" s="16"/>
      <c r="Q27" s="15">
        <v>34.0</v>
      </c>
      <c r="R27" s="16"/>
      <c r="T27" s="17">
        <v>34.0</v>
      </c>
      <c r="U27" s="22">
        <v>3000.0</v>
      </c>
      <c r="X27" s="15">
        <v>34.0</v>
      </c>
      <c r="Y27" s="16">
        <f t="shared" si="1"/>
        <v>21500</v>
      </c>
    </row>
    <row r="28">
      <c r="B28" s="15">
        <v>35.0</v>
      </c>
      <c r="C28" s="19">
        <v>1000.0</v>
      </c>
      <c r="E28" s="15">
        <v>35.0</v>
      </c>
      <c r="F28" s="19">
        <v>10500.0</v>
      </c>
      <c r="H28" s="15">
        <v>35.0</v>
      </c>
      <c r="I28" s="21">
        <v>4000.0</v>
      </c>
      <c r="J28" s="20"/>
      <c r="K28" s="15">
        <v>35.0</v>
      </c>
      <c r="L28" s="16"/>
      <c r="N28" s="15">
        <v>35.0</v>
      </c>
      <c r="O28" s="16"/>
      <c r="Q28" s="15">
        <v>35.0</v>
      </c>
      <c r="R28" s="16"/>
      <c r="T28" s="17">
        <v>35.0</v>
      </c>
      <c r="U28" s="22">
        <v>3000.0</v>
      </c>
      <c r="X28" s="15">
        <v>35.0</v>
      </c>
      <c r="Y28" s="16">
        <f t="shared" si="1"/>
        <v>18500</v>
      </c>
    </row>
    <row r="29">
      <c r="B29" s="15">
        <v>36.0</v>
      </c>
      <c r="C29" s="19">
        <v>500.0</v>
      </c>
      <c r="E29" s="15">
        <v>36.0</v>
      </c>
      <c r="F29" s="19">
        <v>9500.0</v>
      </c>
      <c r="H29" s="15">
        <v>36.0</v>
      </c>
      <c r="I29" s="21">
        <v>3000.0</v>
      </c>
      <c r="J29" s="20"/>
      <c r="K29" s="15">
        <v>36.0</v>
      </c>
      <c r="L29" s="16"/>
      <c r="N29" s="15">
        <v>36.0</v>
      </c>
      <c r="O29" s="16"/>
      <c r="Q29" s="15">
        <v>36.0</v>
      </c>
      <c r="R29" s="16"/>
      <c r="T29" s="17">
        <v>36.0</v>
      </c>
      <c r="U29" s="22">
        <v>3000.0</v>
      </c>
      <c r="X29" s="15">
        <v>36.0</v>
      </c>
      <c r="Y29" s="16">
        <f t="shared" si="1"/>
        <v>16000</v>
      </c>
    </row>
    <row r="30">
      <c r="B30" s="15">
        <v>37.0</v>
      </c>
      <c r="C30" s="19">
        <v>1000.0</v>
      </c>
      <c r="E30" s="15">
        <v>37.0</v>
      </c>
      <c r="F30" s="19">
        <v>7500.0</v>
      </c>
      <c r="H30" s="15">
        <v>37.0</v>
      </c>
      <c r="I30" s="21">
        <v>1000.0</v>
      </c>
      <c r="J30" s="20"/>
      <c r="K30" s="15">
        <v>37.0</v>
      </c>
      <c r="L30" s="16"/>
      <c r="N30" s="15">
        <v>37.0</v>
      </c>
      <c r="O30" s="16"/>
      <c r="Q30" s="15">
        <v>37.0</v>
      </c>
      <c r="R30" s="16"/>
      <c r="T30" s="17">
        <v>37.0</v>
      </c>
      <c r="U30" s="22">
        <v>2000.0</v>
      </c>
      <c r="X30" s="15">
        <v>37.0</v>
      </c>
      <c r="Y30" s="16">
        <f t="shared" si="1"/>
        <v>11500</v>
      </c>
    </row>
    <row r="31">
      <c r="B31" s="15">
        <v>38.0</v>
      </c>
      <c r="C31" s="19">
        <v>500.0</v>
      </c>
      <c r="E31" s="15">
        <v>38.0</v>
      </c>
      <c r="F31" s="19">
        <v>5700.0</v>
      </c>
      <c r="H31" s="15">
        <v>38.0</v>
      </c>
      <c r="I31" s="21">
        <v>1000.0</v>
      </c>
      <c r="J31" s="20"/>
      <c r="K31" s="15">
        <v>38.0</v>
      </c>
      <c r="L31" s="16"/>
      <c r="N31" s="15">
        <v>38.0</v>
      </c>
      <c r="O31" s="16"/>
      <c r="Q31" s="15">
        <v>38.0</v>
      </c>
      <c r="R31" s="16"/>
      <c r="T31" s="17">
        <v>38.0</v>
      </c>
      <c r="U31" s="22">
        <v>2000.0</v>
      </c>
      <c r="X31" s="15">
        <v>38.0</v>
      </c>
      <c r="Y31" s="16">
        <f t="shared" si="1"/>
        <v>9200</v>
      </c>
    </row>
    <row r="32">
      <c r="B32" s="15">
        <v>39.0</v>
      </c>
      <c r="C32" s="19">
        <v>1000.0</v>
      </c>
      <c r="E32" s="15">
        <v>39.0</v>
      </c>
      <c r="F32" s="19">
        <v>5200.0</v>
      </c>
      <c r="H32" s="15">
        <v>39.0</v>
      </c>
      <c r="I32" s="21">
        <v>1000.0</v>
      </c>
      <c r="J32" s="20"/>
      <c r="K32" s="15">
        <v>39.0</v>
      </c>
      <c r="L32" s="16"/>
      <c r="N32" s="15">
        <v>39.0</v>
      </c>
      <c r="O32" s="16"/>
      <c r="Q32" s="15">
        <v>39.0</v>
      </c>
      <c r="R32" s="16"/>
      <c r="T32" s="17">
        <v>39.0</v>
      </c>
      <c r="U32" s="22">
        <v>2000.0</v>
      </c>
      <c r="X32" s="15">
        <v>39.0</v>
      </c>
      <c r="Y32" s="16">
        <f t="shared" si="1"/>
        <v>9200</v>
      </c>
    </row>
    <row r="33">
      <c r="B33" s="15">
        <v>40.0</v>
      </c>
      <c r="C33" s="19">
        <v>1500.0</v>
      </c>
      <c r="E33" s="15">
        <v>40.0</v>
      </c>
      <c r="F33" s="19">
        <v>3000.0</v>
      </c>
      <c r="H33" s="15">
        <v>40.0</v>
      </c>
      <c r="I33" s="21">
        <v>500.0</v>
      </c>
      <c r="J33" s="20"/>
      <c r="K33" s="15">
        <v>40.0</v>
      </c>
      <c r="L33" s="16"/>
      <c r="N33" s="15">
        <v>40.0</v>
      </c>
      <c r="O33" s="16"/>
      <c r="Q33" s="15">
        <v>40.0</v>
      </c>
      <c r="R33" s="16"/>
      <c r="T33" s="17">
        <v>40.0</v>
      </c>
      <c r="U33" s="22">
        <v>1500.0</v>
      </c>
      <c r="X33" s="15">
        <v>40.0</v>
      </c>
      <c r="Y33" s="16">
        <f t="shared" si="1"/>
        <v>6500</v>
      </c>
    </row>
    <row r="34">
      <c r="B34" s="15">
        <v>41.0</v>
      </c>
      <c r="C34" s="19">
        <v>2000.0</v>
      </c>
      <c r="E34" s="15">
        <v>41.0</v>
      </c>
      <c r="F34" s="19">
        <v>3700.0</v>
      </c>
      <c r="H34" s="15">
        <v>41.0</v>
      </c>
      <c r="I34" s="21">
        <v>700.0</v>
      </c>
      <c r="J34" s="20"/>
      <c r="K34" s="15">
        <v>41.0</v>
      </c>
      <c r="L34" s="16"/>
      <c r="N34" s="15">
        <v>41.0</v>
      </c>
      <c r="O34" s="16"/>
      <c r="Q34" s="15">
        <v>41.0</v>
      </c>
      <c r="R34" s="16"/>
      <c r="T34" s="17">
        <v>41.0</v>
      </c>
      <c r="U34" s="22">
        <v>1500.0</v>
      </c>
      <c r="X34" s="15">
        <v>41.0</v>
      </c>
      <c r="Y34" s="16">
        <f t="shared" si="1"/>
        <v>7900</v>
      </c>
    </row>
    <row r="35">
      <c r="B35" s="15">
        <v>42.0</v>
      </c>
      <c r="C35" s="19">
        <v>1500.0</v>
      </c>
      <c r="E35" s="15">
        <v>42.0</v>
      </c>
      <c r="F35" s="19">
        <v>2600.0</v>
      </c>
      <c r="H35" s="15">
        <v>42.0</v>
      </c>
      <c r="I35" s="21">
        <v>700.0</v>
      </c>
      <c r="J35" s="20"/>
      <c r="K35" s="15">
        <v>42.0</v>
      </c>
      <c r="L35" s="16"/>
      <c r="N35" s="15">
        <v>42.0</v>
      </c>
      <c r="O35" s="16"/>
      <c r="Q35" s="15">
        <v>42.0</v>
      </c>
      <c r="R35" s="16"/>
      <c r="T35" s="17">
        <v>42.0</v>
      </c>
      <c r="U35" s="22">
        <v>1000.0</v>
      </c>
      <c r="X35" s="15">
        <v>42.0</v>
      </c>
      <c r="Y35" s="16">
        <f t="shared" si="1"/>
        <v>5800</v>
      </c>
    </row>
    <row r="36">
      <c r="B36" s="15">
        <v>43.0</v>
      </c>
      <c r="C36" s="19">
        <v>1000.0</v>
      </c>
      <c r="E36" s="15">
        <v>43.0</v>
      </c>
      <c r="F36" s="19">
        <v>900.0</v>
      </c>
      <c r="H36" s="15">
        <v>43.0</v>
      </c>
      <c r="I36" s="21">
        <v>500.0</v>
      </c>
      <c r="J36" s="20"/>
      <c r="K36" s="15">
        <v>43.0</v>
      </c>
      <c r="L36" s="16"/>
      <c r="N36" s="15">
        <v>43.0</v>
      </c>
      <c r="O36" s="16"/>
      <c r="Q36" s="15">
        <v>43.0</v>
      </c>
      <c r="R36" s="16"/>
      <c r="T36" s="17">
        <v>43.0</v>
      </c>
      <c r="U36" s="22">
        <v>1000.0</v>
      </c>
      <c r="X36" s="15">
        <v>43.0</v>
      </c>
      <c r="Y36" s="16">
        <f t="shared" si="1"/>
        <v>3400</v>
      </c>
    </row>
    <row r="37">
      <c r="B37" s="15">
        <v>44.0</v>
      </c>
      <c r="C37" s="19">
        <v>1000.0</v>
      </c>
      <c r="E37" s="15">
        <v>44.0</v>
      </c>
      <c r="F37" s="19">
        <v>700.0</v>
      </c>
      <c r="H37" s="15">
        <v>44.0</v>
      </c>
      <c r="I37" s="21">
        <v>500.0</v>
      </c>
      <c r="J37" s="20"/>
      <c r="K37" s="15">
        <v>44.0</v>
      </c>
      <c r="L37" s="16"/>
      <c r="N37" s="15">
        <v>44.0</v>
      </c>
      <c r="O37" s="16"/>
      <c r="Q37" s="15">
        <v>44.0</v>
      </c>
      <c r="R37" s="16"/>
      <c r="T37" s="17">
        <v>44.0</v>
      </c>
      <c r="U37" s="22">
        <v>1000.0</v>
      </c>
      <c r="X37" s="15">
        <v>44.0</v>
      </c>
      <c r="Y37" s="16">
        <f t="shared" si="1"/>
        <v>3200</v>
      </c>
    </row>
    <row r="38">
      <c r="B38" s="15">
        <v>45.0</v>
      </c>
      <c r="C38" s="19">
        <v>500.0</v>
      </c>
      <c r="E38" s="15">
        <v>45.0</v>
      </c>
      <c r="F38" s="19">
        <v>600.0</v>
      </c>
      <c r="H38" s="15">
        <v>45.0</v>
      </c>
      <c r="I38" s="21">
        <v>500.0</v>
      </c>
      <c r="J38" s="20"/>
      <c r="K38" s="15">
        <v>45.0</v>
      </c>
      <c r="L38" s="16"/>
      <c r="N38" s="15">
        <v>45.0</v>
      </c>
      <c r="O38" s="16"/>
      <c r="Q38" s="15">
        <v>45.0</v>
      </c>
      <c r="R38" s="16"/>
      <c r="T38" s="17">
        <v>45.0</v>
      </c>
      <c r="U38" s="22">
        <v>1000.0</v>
      </c>
      <c r="X38" s="15">
        <v>45.0</v>
      </c>
      <c r="Y38" s="16">
        <f t="shared" si="1"/>
        <v>2600</v>
      </c>
    </row>
    <row r="39">
      <c r="B39" s="23">
        <v>46.0</v>
      </c>
      <c r="C39" s="24"/>
      <c r="E39" s="23">
        <v>46.0</v>
      </c>
      <c r="F39" s="24"/>
      <c r="H39" s="23">
        <v>46.0</v>
      </c>
      <c r="I39" s="24"/>
      <c r="J39" s="20"/>
      <c r="K39" s="23">
        <v>46.0</v>
      </c>
      <c r="L39" s="24"/>
      <c r="N39" s="23">
        <v>46.0</v>
      </c>
      <c r="O39" s="24"/>
      <c r="Q39" s="23">
        <v>46.0</v>
      </c>
      <c r="R39" s="24"/>
      <c r="T39" s="25">
        <v>46.0</v>
      </c>
      <c r="U39" s="26"/>
      <c r="X39" s="23">
        <v>46.0</v>
      </c>
      <c r="Y39" s="16">
        <f t="shared" si="1"/>
        <v>0</v>
      </c>
    </row>
    <row r="40">
      <c r="B40" s="27" t="s">
        <v>7</v>
      </c>
      <c r="C40" s="28">
        <f>SUM(C7:C39)</f>
        <v>152000</v>
      </c>
      <c r="E40" s="27" t="s">
        <v>7</v>
      </c>
      <c r="F40" s="28">
        <f>SUM(F7:F39)</f>
        <v>295200</v>
      </c>
      <c r="H40" s="27" t="s">
        <v>7</v>
      </c>
      <c r="I40" s="28">
        <f>SUM(I7:I39)</f>
        <v>89800</v>
      </c>
      <c r="J40" s="20"/>
      <c r="K40" s="27" t="s">
        <v>7</v>
      </c>
      <c r="L40" s="28">
        <f>SUM(L7:L39)</f>
        <v>0</v>
      </c>
      <c r="N40" s="27" t="s">
        <v>7</v>
      </c>
      <c r="O40" s="28">
        <f>SUM(O7:O39)</f>
        <v>0</v>
      </c>
      <c r="Q40" s="27" t="s">
        <v>7</v>
      </c>
      <c r="R40" s="28">
        <f>SUM(R7:R39)</f>
        <v>0</v>
      </c>
      <c r="T40" s="29" t="s">
        <v>7</v>
      </c>
      <c r="U40" s="30">
        <f>SUM(U7:U39)</f>
        <v>67000</v>
      </c>
      <c r="X40" s="27" t="s">
        <v>7</v>
      </c>
      <c r="Y40" s="31">
        <f t="shared" si="1"/>
        <v>604000</v>
      </c>
    </row>
    <row r="41">
      <c r="U41" s="1"/>
    </row>
    <row r="42">
      <c r="U42" s="1"/>
    </row>
    <row r="43">
      <c r="U43" s="1"/>
    </row>
    <row r="44">
      <c r="U44" s="1"/>
    </row>
    <row r="45">
      <c r="U45" s="1"/>
    </row>
    <row r="46">
      <c r="U46" s="1"/>
    </row>
    <row r="47">
      <c r="B47" s="2" t="s">
        <v>10</v>
      </c>
      <c r="C47" s="3"/>
      <c r="E47" s="2" t="s">
        <v>11</v>
      </c>
      <c r="F47" s="3"/>
      <c r="H47" s="2" t="s">
        <v>12</v>
      </c>
      <c r="I47" s="3"/>
      <c r="K47" s="2" t="s">
        <v>13</v>
      </c>
      <c r="L47" s="3"/>
      <c r="N47" s="2" t="s">
        <v>14</v>
      </c>
      <c r="O47" s="3"/>
      <c r="Q47" s="2" t="s">
        <v>15</v>
      </c>
      <c r="R47" s="3"/>
      <c r="T47" s="2" t="s">
        <v>16</v>
      </c>
      <c r="U47" s="3"/>
      <c r="W47" s="2" t="s">
        <v>17</v>
      </c>
      <c r="X47" s="3"/>
    </row>
    <row r="48">
      <c r="B48" s="6" t="s">
        <v>8</v>
      </c>
      <c r="C48" s="9" t="s">
        <v>9</v>
      </c>
      <c r="D48" s="32">
        <f>C82/Y40</f>
        <v>0.3812913907</v>
      </c>
      <c r="E48" s="6" t="s">
        <v>8</v>
      </c>
      <c r="F48" s="9" t="s">
        <v>9</v>
      </c>
      <c r="G48" s="33">
        <v>0.33</v>
      </c>
      <c r="H48" s="6" t="s">
        <v>8</v>
      </c>
      <c r="I48" s="9" t="s">
        <v>9</v>
      </c>
      <c r="J48" s="33">
        <v>0.07</v>
      </c>
      <c r="K48" s="6" t="s">
        <v>8</v>
      </c>
      <c r="L48" s="9" t="s">
        <v>9</v>
      </c>
      <c r="M48" s="34">
        <v>0.05</v>
      </c>
      <c r="N48" s="6" t="s">
        <v>8</v>
      </c>
      <c r="O48" s="9" t="s">
        <v>9</v>
      </c>
      <c r="P48" s="34">
        <v>0.05</v>
      </c>
      <c r="Q48" s="6" t="s">
        <v>8</v>
      </c>
      <c r="R48" s="9" t="s">
        <v>9</v>
      </c>
      <c r="S48" s="34">
        <v>0.06</v>
      </c>
      <c r="T48" s="6" t="s">
        <v>8</v>
      </c>
      <c r="U48" s="9" t="s">
        <v>9</v>
      </c>
      <c r="V48" s="34">
        <v>0.05</v>
      </c>
      <c r="W48" s="6" t="s">
        <v>8</v>
      </c>
      <c r="X48" s="9" t="s">
        <v>9</v>
      </c>
      <c r="Y48" s="33">
        <v>0.06</v>
      </c>
    </row>
    <row r="49">
      <c r="B49" s="10">
        <v>14.0</v>
      </c>
      <c r="C49" s="11"/>
      <c r="E49" s="10">
        <v>14.0</v>
      </c>
      <c r="F49" s="11">
        <f t="shared" ref="F49:F81" si="2">Y7*$G$48</f>
        <v>0</v>
      </c>
      <c r="H49" s="10">
        <v>14.0</v>
      </c>
      <c r="I49" s="11">
        <f t="shared" ref="I49:I81" si="3">Y7*$J$48</f>
        <v>0</v>
      </c>
      <c r="K49" s="10">
        <v>14.0</v>
      </c>
      <c r="L49" s="11">
        <f t="shared" ref="L49:L81" si="4">Y7*$M$48</f>
        <v>0</v>
      </c>
      <c r="N49" s="10">
        <v>14.0</v>
      </c>
      <c r="O49" s="11">
        <f t="shared" ref="O49:O81" si="5">Y7*$P$48</f>
        <v>0</v>
      </c>
      <c r="Q49" s="10">
        <v>14.0</v>
      </c>
      <c r="R49" s="11">
        <f t="shared" ref="R49:R81" si="6">Y7*$S$48</f>
        <v>0</v>
      </c>
      <c r="T49" s="10">
        <v>14.0</v>
      </c>
      <c r="U49" s="11">
        <f t="shared" ref="U49:U81" si="7">Y7*$V$48</f>
        <v>0</v>
      </c>
      <c r="W49" s="10">
        <v>14.0</v>
      </c>
      <c r="X49" s="11">
        <f t="shared" ref="X49:X81" si="8">Y7*$Y$48</f>
        <v>0</v>
      </c>
    </row>
    <row r="50">
      <c r="B50" s="15">
        <v>15.0</v>
      </c>
      <c r="C50" s="16"/>
      <c r="E50" s="15">
        <v>15.0</v>
      </c>
      <c r="F50" s="16">
        <f t="shared" si="2"/>
        <v>0</v>
      </c>
      <c r="H50" s="15">
        <v>15.0</v>
      </c>
      <c r="I50" s="16">
        <f t="shared" si="3"/>
        <v>0</v>
      </c>
      <c r="K50" s="15">
        <v>15.0</v>
      </c>
      <c r="L50" s="16">
        <f t="shared" si="4"/>
        <v>0</v>
      </c>
      <c r="N50" s="15">
        <v>15.0</v>
      </c>
      <c r="O50" s="16">
        <f t="shared" si="5"/>
        <v>0</v>
      </c>
      <c r="Q50" s="15">
        <v>15.0</v>
      </c>
      <c r="R50" s="16">
        <f t="shared" si="6"/>
        <v>0</v>
      </c>
      <c r="T50" s="15">
        <v>15.0</v>
      </c>
      <c r="U50" s="16">
        <f t="shared" si="7"/>
        <v>0</v>
      </c>
      <c r="W50" s="15">
        <v>15.0</v>
      </c>
      <c r="X50" s="16">
        <f t="shared" si="8"/>
        <v>0</v>
      </c>
    </row>
    <row r="51">
      <c r="B51" s="15">
        <v>16.0</v>
      </c>
      <c r="C51" s="16"/>
      <c r="E51" s="15">
        <v>16.0</v>
      </c>
      <c r="F51" s="16">
        <f t="shared" si="2"/>
        <v>0</v>
      </c>
      <c r="H51" s="15">
        <v>16.0</v>
      </c>
      <c r="I51" s="16">
        <f t="shared" si="3"/>
        <v>0</v>
      </c>
      <c r="K51" s="15">
        <v>16.0</v>
      </c>
      <c r="L51" s="16">
        <f t="shared" si="4"/>
        <v>0</v>
      </c>
      <c r="N51" s="15">
        <v>16.0</v>
      </c>
      <c r="O51" s="16">
        <f t="shared" si="5"/>
        <v>0</v>
      </c>
      <c r="Q51" s="15">
        <v>16.0</v>
      </c>
      <c r="R51" s="16">
        <f t="shared" si="6"/>
        <v>0</v>
      </c>
      <c r="T51" s="15">
        <v>16.0</v>
      </c>
      <c r="U51" s="16">
        <f t="shared" si="7"/>
        <v>0</v>
      </c>
      <c r="W51" s="15">
        <v>16.0</v>
      </c>
      <c r="X51" s="16">
        <f t="shared" si="8"/>
        <v>0</v>
      </c>
    </row>
    <row r="52">
      <c r="B52" s="15">
        <v>17.0</v>
      </c>
      <c r="C52" s="16"/>
      <c r="E52" s="15">
        <v>17.0</v>
      </c>
      <c r="F52" s="16">
        <f t="shared" si="2"/>
        <v>0</v>
      </c>
      <c r="H52" s="15">
        <v>17.0</v>
      </c>
      <c r="I52" s="16">
        <f t="shared" si="3"/>
        <v>0</v>
      </c>
      <c r="K52" s="15">
        <v>17.0</v>
      </c>
      <c r="L52" s="16">
        <f t="shared" si="4"/>
        <v>0</v>
      </c>
      <c r="N52" s="15">
        <v>17.0</v>
      </c>
      <c r="O52" s="16">
        <f t="shared" si="5"/>
        <v>0</v>
      </c>
      <c r="Q52" s="15">
        <v>17.0</v>
      </c>
      <c r="R52" s="16">
        <f t="shared" si="6"/>
        <v>0</v>
      </c>
      <c r="T52" s="15">
        <v>17.0</v>
      </c>
      <c r="U52" s="16">
        <f t="shared" si="7"/>
        <v>0</v>
      </c>
      <c r="W52" s="15">
        <v>17.0</v>
      </c>
      <c r="X52" s="16">
        <f t="shared" si="8"/>
        <v>0</v>
      </c>
    </row>
    <row r="53">
      <c r="B53" s="15">
        <v>18.0</v>
      </c>
      <c r="C53" s="19">
        <v>500.0</v>
      </c>
      <c r="E53" s="15">
        <v>18.0</v>
      </c>
      <c r="F53" s="16">
        <f t="shared" si="2"/>
        <v>0</v>
      </c>
      <c r="H53" s="15">
        <v>18.0</v>
      </c>
      <c r="I53" s="16">
        <f t="shared" si="3"/>
        <v>0</v>
      </c>
      <c r="K53" s="15">
        <v>18.0</v>
      </c>
      <c r="L53" s="16">
        <f t="shared" si="4"/>
        <v>0</v>
      </c>
      <c r="N53" s="15">
        <v>18.0</v>
      </c>
      <c r="O53" s="16">
        <f t="shared" si="5"/>
        <v>0</v>
      </c>
      <c r="Q53" s="15">
        <v>18.0</v>
      </c>
      <c r="R53" s="16">
        <f t="shared" si="6"/>
        <v>0</v>
      </c>
      <c r="T53" s="15">
        <v>18.0</v>
      </c>
      <c r="U53" s="16">
        <f t="shared" si="7"/>
        <v>0</v>
      </c>
      <c r="W53" s="15">
        <v>18.0</v>
      </c>
      <c r="X53" s="16">
        <f t="shared" si="8"/>
        <v>0</v>
      </c>
    </row>
    <row r="54">
      <c r="B54" s="15">
        <v>19.0</v>
      </c>
      <c r="C54" s="19">
        <v>3000.0</v>
      </c>
      <c r="E54" s="15">
        <v>19.0</v>
      </c>
      <c r="F54" s="16">
        <f t="shared" si="2"/>
        <v>495</v>
      </c>
      <c r="H54" s="15">
        <v>19.0</v>
      </c>
      <c r="I54" s="16">
        <f t="shared" si="3"/>
        <v>105</v>
      </c>
      <c r="K54" s="15">
        <v>19.0</v>
      </c>
      <c r="L54" s="16">
        <f t="shared" si="4"/>
        <v>75</v>
      </c>
      <c r="N54" s="15">
        <v>19.0</v>
      </c>
      <c r="O54" s="16">
        <f t="shared" si="5"/>
        <v>75</v>
      </c>
      <c r="Q54" s="15">
        <v>19.0</v>
      </c>
      <c r="R54" s="16">
        <f t="shared" si="6"/>
        <v>90</v>
      </c>
      <c r="T54" s="15">
        <v>19.0</v>
      </c>
      <c r="U54" s="16">
        <f t="shared" si="7"/>
        <v>75</v>
      </c>
      <c r="W54" s="15">
        <v>19.0</v>
      </c>
      <c r="X54" s="16">
        <f t="shared" si="8"/>
        <v>90</v>
      </c>
    </row>
    <row r="55">
      <c r="B55" s="15">
        <v>20.0</v>
      </c>
      <c r="C55" s="35">
        <v>8000.0</v>
      </c>
      <c r="E55" s="15">
        <v>20.0</v>
      </c>
      <c r="F55" s="16">
        <f t="shared" si="2"/>
        <v>2112</v>
      </c>
      <c r="H55" s="15">
        <v>20.0</v>
      </c>
      <c r="I55" s="16">
        <f t="shared" si="3"/>
        <v>448</v>
      </c>
      <c r="K55" s="15">
        <v>20.0</v>
      </c>
      <c r="L55" s="16">
        <f t="shared" si="4"/>
        <v>320</v>
      </c>
      <c r="N55" s="15">
        <v>20.0</v>
      </c>
      <c r="O55" s="16">
        <f t="shared" si="5"/>
        <v>320</v>
      </c>
      <c r="Q55" s="15">
        <v>20.0</v>
      </c>
      <c r="R55" s="16">
        <f t="shared" si="6"/>
        <v>384</v>
      </c>
      <c r="T55" s="15">
        <v>20.0</v>
      </c>
      <c r="U55" s="16">
        <f t="shared" si="7"/>
        <v>320</v>
      </c>
      <c r="W55" s="15">
        <v>20.0</v>
      </c>
      <c r="X55" s="16">
        <f t="shared" si="8"/>
        <v>384</v>
      </c>
    </row>
    <row r="56">
      <c r="B56" s="15">
        <v>21.0</v>
      </c>
      <c r="C56" s="35">
        <v>15000.0</v>
      </c>
      <c r="E56" s="15">
        <v>21.0</v>
      </c>
      <c r="F56" s="16">
        <f t="shared" si="2"/>
        <v>4125</v>
      </c>
      <c r="H56" s="15">
        <v>21.0</v>
      </c>
      <c r="I56" s="16">
        <f t="shared" si="3"/>
        <v>875</v>
      </c>
      <c r="K56" s="15">
        <v>21.0</v>
      </c>
      <c r="L56" s="16">
        <f t="shared" si="4"/>
        <v>625</v>
      </c>
      <c r="N56" s="15">
        <v>21.0</v>
      </c>
      <c r="O56" s="16">
        <f t="shared" si="5"/>
        <v>625</v>
      </c>
      <c r="Q56" s="15">
        <v>21.0</v>
      </c>
      <c r="R56" s="16">
        <f t="shared" si="6"/>
        <v>750</v>
      </c>
      <c r="T56" s="15">
        <v>21.0</v>
      </c>
      <c r="U56" s="16">
        <f t="shared" si="7"/>
        <v>625</v>
      </c>
      <c r="W56" s="15">
        <v>21.0</v>
      </c>
      <c r="X56" s="16">
        <f t="shared" si="8"/>
        <v>750</v>
      </c>
    </row>
    <row r="57">
      <c r="B57" s="15">
        <v>22.0</v>
      </c>
      <c r="C57" s="19">
        <v>18000.0</v>
      </c>
      <c r="E57" s="15">
        <v>22.0</v>
      </c>
      <c r="F57" s="16">
        <f t="shared" si="2"/>
        <v>10362</v>
      </c>
      <c r="H57" s="15">
        <v>22.0</v>
      </c>
      <c r="I57" s="16">
        <f t="shared" si="3"/>
        <v>2198</v>
      </c>
      <c r="K57" s="15">
        <v>22.0</v>
      </c>
      <c r="L57" s="16">
        <f t="shared" si="4"/>
        <v>1570</v>
      </c>
      <c r="N57" s="15">
        <v>22.0</v>
      </c>
      <c r="O57" s="16">
        <f t="shared" si="5"/>
        <v>1570</v>
      </c>
      <c r="Q57" s="15">
        <v>22.0</v>
      </c>
      <c r="R57" s="16">
        <f t="shared" si="6"/>
        <v>1884</v>
      </c>
      <c r="T57" s="15">
        <v>22.0</v>
      </c>
      <c r="U57" s="16">
        <f t="shared" si="7"/>
        <v>1570</v>
      </c>
      <c r="W57" s="15">
        <v>22.0</v>
      </c>
      <c r="X57" s="16">
        <f t="shared" si="8"/>
        <v>1884</v>
      </c>
    </row>
    <row r="58">
      <c r="B58" s="15">
        <v>23.0</v>
      </c>
      <c r="C58" s="19">
        <v>11000.0</v>
      </c>
      <c r="E58" s="15">
        <v>23.0</v>
      </c>
      <c r="F58" s="16">
        <f t="shared" si="2"/>
        <v>16797</v>
      </c>
      <c r="H58" s="15">
        <v>23.0</v>
      </c>
      <c r="I58" s="16">
        <f t="shared" si="3"/>
        <v>3563</v>
      </c>
      <c r="K58" s="15">
        <v>23.0</v>
      </c>
      <c r="L58" s="16">
        <f t="shared" si="4"/>
        <v>2545</v>
      </c>
      <c r="N58" s="15">
        <v>23.0</v>
      </c>
      <c r="O58" s="16">
        <f t="shared" si="5"/>
        <v>2545</v>
      </c>
      <c r="Q58" s="15">
        <v>23.0</v>
      </c>
      <c r="R58" s="16">
        <f t="shared" si="6"/>
        <v>3054</v>
      </c>
      <c r="T58" s="15">
        <v>23.0</v>
      </c>
      <c r="U58" s="16">
        <f t="shared" si="7"/>
        <v>2545</v>
      </c>
      <c r="W58" s="15">
        <v>23.0</v>
      </c>
      <c r="X58" s="16">
        <f t="shared" si="8"/>
        <v>3054</v>
      </c>
    </row>
    <row r="59">
      <c r="B59" s="15">
        <v>24.0</v>
      </c>
      <c r="C59" s="19">
        <v>10000.0</v>
      </c>
      <c r="E59" s="15">
        <v>24.0</v>
      </c>
      <c r="F59" s="16">
        <f t="shared" si="2"/>
        <v>11550</v>
      </c>
      <c r="H59" s="15">
        <v>24.0</v>
      </c>
      <c r="I59" s="16">
        <f t="shared" si="3"/>
        <v>2450</v>
      </c>
      <c r="K59" s="15">
        <v>24.0</v>
      </c>
      <c r="L59" s="16">
        <f t="shared" si="4"/>
        <v>1750</v>
      </c>
      <c r="N59" s="15">
        <v>24.0</v>
      </c>
      <c r="O59" s="16">
        <f t="shared" si="5"/>
        <v>1750</v>
      </c>
      <c r="Q59" s="15">
        <v>24.0</v>
      </c>
      <c r="R59" s="16">
        <f t="shared" si="6"/>
        <v>2100</v>
      </c>
      <c r="T59" s="15">
        <v>24.0</v>
      </c>
      <c r="U59" s="16">
        <f t="shared" si="7"/>
        <v>1750</v>
      </c>
      <c r="W59" s="15">
        <v>24.0</v>
      </c>
      <c r="X59" s="16">
        <f t="shared" si="8"/>
        <v>2100</v>
      </c>
    </row>
    <row r="60">
      <c r="B60" s="15">
        <v>25.0</v>
      </c>
      <c r="C60" s="35">
        <v>9500.0</v>
      </c>
      <c r="E60" s="15">
        <v>25.0</v>
      </c>
      <c r="F60" s="16">
        <f t="shared" si="2"/>
        <v>11880</v>
      </c>
      <c r="H60" s="15">
        <v>25.0</v>
      </c>
      <c r="I60" s="16">
        <f t="shared" si="3"/>
        <v>2520</v>
      </c>
      <c r="K60" s="15">
        <v>25.0</v>
      </c>
      <c r="L60" s="16">
        <f t="shared" si="4"/>
        <v>1800</v>
      </c>
      <c r="N60" s="15">
        <v>25.0</v>
      </c>
      <c r="O60" s="16">
        <f t="shared" si="5"/>
        <v>1800</v>
      </c>
      <c r="Q60" s="15">
        <v>25.0</v>
      </c>
      <c r="R60" s="16">
        <f t="shared" si="6"/>
        <v>2160</v>
      </c>
      <c r="T60" s="15">
        <v>25.0</v>
      </c>
      <c r="U60" s="16">
        <f t="shared" si="7"/>
        <v>1800</v>
      </c>
      <c r="W60" s="15">
        <v>25.0</v>
      </c>
      <c r="X60" s="16">
        <f t="shared" si="8"/>
        <v>2160</v>
      </c>
    </row>
    <row r="61">
      <c r="B61" s="15">
        <v>26.0</v>
      </c>
      <c r="C61" s="35">
        <v>20000.0</v>
      </c>
      <c r="E61" s="15">
        <v>26.0</v>
      </c>
      <c r="F61" s="16">
        <f t="shared" si="2"/>
        <v>10890</v>
      </c>
      <c r="H61" s="15">
        <v>26.0</v>
      </c>
      <c r="I61" s="16">
        <f t="shared" si="3"/>
        <v>2310</v>
      </c>
      <c r="K61" s="15">
        <v>26.0</v>
      </c>
      <c r="L61" s="16">
        <f t="shared" si="4"/>
        <v>1650</v>
      </c>
      <c r="N61" s="15">
        <v>26.0</v>
      </c>
      <c r="O61" s="16">
        <f t="shared" si="5"/>
        <v>1650</v>
      </c>
      <c r="Q61" s="15">
        <v>26.0</v>
      </c>
      <c r="R61" s="16">
        <f t="shared" si="6"/>
        <v>1980</v>
      </c>
      <c r="T61" s="15">
        <v>26.0</v>
      </c>
      <c r="U61" s="16">
        <f t="shared" si="7"/>
        <v>1650</v>
      </c>
      <c r="W61" s="15">
        <v>26.0</v>
      </c>
      <c r="X61" s="16">
        <f t="shared" si="8"/>
        <v>1980</v>
      </c>
    </row>
    <row r="62">
      <c r="B62" s="15">
        <v>27.0</v>
      </c>
      <c r="C62" s="35">
        <v>20000.0</v>
      </c>
      <c r="E62" s="15">
        <v>27.0</v>
      </c>
      <c r="F62" s="16">
        <f t="shared" si="2"/>
        <v>14685</v>
      </c>
      <c r="H62" s="15">
        <v>27.0</v>
      </c>
      <c r="I62" s="16">
        <f t="shared" si="3"/>
        <v>3115</v>
      </c>
      <c r="K62" s="15">
        <v>27.0</v>
      </c>
      <c r="L62" s="16">
        <f t="shared" si="4"/>
        <v>2225</v>
      </c>
      <c r="N62" s="15">
        <v>27.0</v>
      </c>
      <c r="O62" s="16">
        <f t="shared" si="5"/>
        <v>2225</v>
      </c>
      <c r="Q62" s="15">
        <v>27.0</v>
      </c>
      <c r="R62" s="16">
        <f t="shared" si="6"/>
        <v>2670</v>
      </c>
      <c r="T62" s="15">
        <v>27.0</v>
      </c>
      <c r="U62" s="16">
        <f t="shared" si="7"/>
        <v>2225</v>
      </c>
      <c r="W62" s="15">
        <v>27.0</v>
      </c>
      <c r="X62" s="16">
        <f t="shared" si="8"/>
        <v>2670</v>
      </c>
    </row>
    <row r="63">
      <c r="B63" s="15">
        <v>28.0</v>
      </c>
      <c r="C63" s="35">
        <v>20000.0</v>
      </c>
      <c r="E63" s="15">
        <v>28.0</v>
      </c>
      <c r="F63" s="16">
        <f t="shared" si="2"/>
        <v>15510</v>
      </c>
      <c r="H63" s="15">
        <v>28.0</v>
      </c>
      <c r="I63" s="16">
        <f t="shared" si="3"/>
        <v>3290</v>
      </c>
      <c r="K63" s="15">
        <v>28.0</v>
      </c>
      <c r="L63" s="16">
        <f t="shared" si="4"/>
        <v>2350</v>
      </c>
      <c r="N63" s="15">
        <v>28.0</v>
      </c>
      <c r="O63" s="16">
        <f t="shared" si="5"/>
        <v>2350</v>
      </c>
      <c r="Q63" s="15">
        <v>28.0</v>
      </c>
      <c r="R63" s="16">
        <f t="shared" si="6"/>
        <v>2820</v>
      </c>
      <c r="T63" s="15">
        <v>28.0</v>
      </c>
      <c r="U63" s="16">
        <f t="shared" si="7"/>
        <v>2350</v>
      </c>
      <c r="W63" s="15">
        <v>28.0</v>
      </c>
      <c r="X63" s="16">
        <f t="shared" si="8"/>
        <v>2820</v>
      </c>
    </row>
    <row r="64">
      <c r="B64" s="15">
        <v>29.0</v>
      </c>
      <c r="C64" s="35">
        <v>18000.0</v>
      </c>
      <c r="E64" s="15">
        <v>29.0</v>
      </c>
      <c r="F64" s="16">
        <f t="shared" si="2"/>
        <v>16830</v>
      </c>
      <c r="H64" s="15">
        <v>29.0</v>
      </c>
      <c r="I64" s="16">
        <f t="shared" si="3"/>
        <v>3570</v>
      </c>
      <c r="K64" s="15">
        <v>29.0</v>
      </c>
      <c r="L64" s="16">
        <f t="shared" si="4"/>
        <v>2550</v>
      </c>
      <c r="N64" s="15">
        <v>29.0</v>
      </c>
      <c r="O64" s="16">
        <f t="shared" si="5"/>
        <v>2550</v>
      </c>
      <c r="Q64" s="15">
        <v>29.0</v>
      </c>
      <c r="R64" s="16">
        <f t="shared" si="6"/>
        <v>3060</v>
      </c>
      <c r="T64" s="15">
        <v>29.0</v>
      </c>
      <c r="U64" s="16">
        <f t="shared" si="7"/>
        <v>2550</v>
      </c>
      <c r="W64" s="15">
        <v>29.0</v>
      </c>
      <c r="X64" s="16">
        <f t="shared" si="8"/>
        <v>3060</v>
      </c>
    </row>
    <row r="65">
      <c r="B65" s="15">
        <v>30.0</v>
      </c>
      <c r="C65" s="35">
        <v>14000.0</v>
      </c>
      <c r="E65" s="15">
        <v>30.0</v>
      </c>
      <c r="F65" s="16">
        <f t="shared" si="2"/>
        <v>15510</v>
      </c>
      <c r="H65" s="15">
        <v>30.0</v>
      </c>
      <c r="I65" s="16">
        <f t="shared" si="3"/>
        <v>3290</v>
      </c>
      <c r="K65" s="15">
        <v>30.0</v>
      </c>
      <c r="L65" s="16">
        <f t="shared" si="4"/>
        <v>2350</v>
      </c>
      <c r="N65" s="15">
        <v>30.0</v>
      </c>
      <c r="O65" s="16">
        <f t="shared" si="5"/>
        <v>2350</v>
      </c>
      <c r="Q65" s="15">
        <v>30.0</v>
      </c>
      <c r="R65" s="16">
        <f t="shared" si="6"/>
        <v>2820</v>
      </c>
      <c r="T65" s="15">
        <v>30.0</v>
      </c>
      <c r="U65" s="16">
        <f t="shared" si="7"/>
        <v>2350</v>
      </c>
      <c r="W65" s="15">
        <v>30.0</v>
      </c>
      <c r="X65" s="16">
        <f t="shared" si="8"/>
        <v>2820</v>
      </c>
    </row>
    <row r="66">
      <c r="B66" s="15">
        <v>31.0</v>
      </c>
      <c r="C66" s="35">
        <v>10500.0</v>
      </c>
      <c r="E66" s="15">
        <v>31.0</v>
      </c>
      <c r="F66" s="16">
        <f t="shared" si="2"/>
        <v>12870</v>
      </c>
      <c r="H66" s="15">
        <v>31.0</v>
      </c>
      <c r="I66" s="16">
        <f t="shared" si="3"/>
        <v>2730</v>
      </c>
      <c r="K66" s="15">
        <v>31.0</v>
      </c>
      <c r="L66" s="16">
        <f t="shared" si="4"/>
        <v>1950</v>
      </c>
      <c r="N66" s="15">
        <v>31.0</v>
      </c>
      <c r="O66" s="16">
        <f t="shared" si="5"/>
        <v>1950</v>
      </c>
      <c r="Q66" s="15">
        <v>31.0</v>
      </c>
      <c r="R66" s="16">
        <f t="shared" si="6"/>
        <v>2340</v>
      </c>
      <c r="T66" s="15">
        <v>31.0</v>
      </c>
      <c r="U66" s="16">
        <f t="shared" si="7"/>
        <v>1950</v>
      </c>
      <c r="W66" s="15">
        <v>31.0</v>
      </c>
      <c r="X66" s="16">
        <f t="shared" si="8"/>
        <v>2340</v>
      </c>
    </row>
    <row r="67">
      <c r="B67" s="15">
        <v>32.0</v>
      </c>
      <c r="C67" s="35">
        <v>8000.0</v>
      </c>
      <c r="E67" s="15">
        <v>32.0</v>
      </c>
      <c r="F67" s="16">
        <f t="shared" si="2"/>
        <v>9405</v>
      </c>
      <c r="H67" s="15">
        <v>32.0</v>
      </c>
      <c r="I67" s="16">
        <f t="shared" si="3"/>
        <v>1995</v>
      </c>
      <c r="K67" s="15">
        <v>32.0</v>
      </c>
      <c r="L67" s="16">
        <f t="shared" si="4"/>
        <v>1425</v>
      </c>
      <c r="N67" s="15">
        <v>32.0</v>
      </c>
      <c r="O67" s="16">
        <f t="shared" si="5"/>
        <v>1425</v>
      </c>
      <c r="Q67" s="15">
        <v>32.0</v>
      </c>
      <c r="R67" s="16">
        <f t="shared" si="6"/>
        <v>1710</v>
      </c>
      <c r="T67" s="15">
        <v>32.0</v>
      </c>
      <c r="U67" s="16">
        <f t="shared" si="7"/>
        <v>1425</v>
      </c>
      <c r="W67" s="15">
        <v>32.0</v>
      </c>
      <c r="X67" s="16">
        <f t="shared" si="8"/>
        <v>1710</v>
      </c>
    </row>
    <row r="68">
      <c r="B68" s="15">
        <v>33.0</v>
      </c>
      <c r="C68" s="19">
        <v>6500.0</v>
      </c>
      <c r="E68" s="15">
        <v>33.0</v>
      </c>
      <c r="F68" s="16">
        <f t="shared" si="2"/>
        <v>8250</v>
      </c>
      <c r="H68" s="15">
        <v>33.0</v>
      </c>
      <c r="I68" s="16">
        <f t="shared" si="3"/>
        <v>1750</v>
      </c>
      <c r="K68" s="15">
        <v>33.0</v>
      </c>
      <c r="L68" s="16">
        <f t="shared" si="4"/>
        <v>1250</v>
      </c>
      <c r="N68" s="15">
        <v>33.0</v>
      </c>
      <c r="O68" s="16">
        <f t="shared" si="5"/>
        <v>1250</v>
      </c>
      <c r="Q68" s="15">
        <v>33.0</v>
      </c>
      <c r="R68" s="16">
        <f t="shared" si="6"/>
        <v>1500</v>
      </c>
      <c r="T68" s="15">
        <v>33.0</v>
      </c>
      <c r="U68" s="16">
        <f t="shared" si="7"/>
        <v>1250</v>
      </c>
      <c r="W68" s="15">
        <v>33.0</v>
      </c>
      <c r="X68" s="16">
        <f t="shared" si="8"/>
        <v>1500</v>
      </c>
    </row>
    <row r="69">
      <c r="B69" s="15">
        <v>34.0</v>
      </c>
      <c r="C69" s="19">
        <v>4500.0</v>
      </c>
      <c r="E69" s="15">
        <v>34.0</v>
      </c>
      <c r="F69" s="16">
        <f t="shared" si="2"/>
        <v>7095</v>
      </c>
      <c r="H69" s="15">
        <v>34.0</v>
      </c>
      <c r="I69" s="16">
        <f t="shared" si="3"/>
        <v>1505</v>
      </c>
      <c r="K69" s="15">
        <v>34.0</v>
      </c>
      <c r="L69" s="16">
        <f t="shared" si="4"/>
        <v>1075</v>
      </c>
      <c r="N69" s="15">
        <v>34.0</v>
      </c>
      <c r="O69" s="16">
        <f t="shared" si="5"/>
        <v>1075</v>
      </c>
      <c r="Q69" s="15">
        <v>34.0</v>
      </c>
      <c r="R69" s="16">
        <f t="shared" si="6"/>
        <v>1290</v>
      </c>
      <c r="T69" s="15">
        <v>34.0</v>
      </c>
      <c r="U69" s="16">
        <f t="shared" si="7"/>
        <v>1075</v>
      </c>
      <c r="W69" s="15">
        <v>34.0</v>
      </c>
      <c r="X69" s="16">
        <f t="shared" si="8"/>
        <v>1290</v>
      </c>
    </row>
    <row r="70">
      <c r="B70" s="15">
        <v>35.0</v>
      </c>
      <c r="C70" s="19">
        <v>4000.0</v>
      </c>
      <c r="E70" s="15">
        <v>35.0</v>
      </c>
      <c r="F70" s="16">
        <f t="shared" si="2"/>
        <v>6105</v>
      </c>
      <c r="H70" s="15">
        <v>35.0</v>
      </c>
      <c r="I70" s="16">
        <f t="shared" si="3"/>
        <v>1295</v>
      </c>
      <c r="K70" s="15">
        <v>35.0</v>
      </c>
      <c r="L70" s="16">
        <f t="shared" si="4"/>
        <v>925</v>
      </c>
      <c r="N70" s="15">
        <v>35.0</v>
      </c>
      <c r="O70" s="16">
        <f t="shared" si="5"/>
        <v>925</v>
      </c>
      <c r="Q70" s="15">
        <v>35.0</v>
      </c>
      <c r="R70" s="16">
        <f t="shared" si="6"/>
        <v>1110</v>
      </c>
      <c r="T70" s="15">
        <v>35.0</v>
      </c>
      <c r="U70" s="16">
        <f t="shared" si="7"/>
        <v>925</v>
      </c>
      <c r="W70" s="15">
        <v>35.0</v>
      </c>
      <c r="X70" s="16">
        <f t="shared" si="8"/>
        <v>1110</v>
      </c>
    </row>
    <row r="71">
      <c r="B71" s="15">
        <v>36.0</v>
      </c>
      <c r="C71" s="19">
        <v>3000.0</v>
      </c>
      <c r="E71" s="15">
        <v>36.0</v>
      </c>
      <c r="F71" s="16">
        <f t="shared" si="2"/>
        <v>5280</v>
      </c>
      <c r="H71" s="15">
        <v>36.0</v>
      </c>
      <c r="I71" s="16">
        <f t="shared" si="3"/>
        <v>1120</v>
      </c>
      <c r="K71" s="15">
        <v>36.0</v>
      </c>
      <c r="L71" s="16">
        <f t="shared" si="4"/>
        <v>800</v>
      </c>
      <c r="N71" s="15">
        <v>36.0</v>
      </c>
      <c r="O71" s="16">
        <f t="shared" si="5"/>
        <v>800</v>
      </c>
      <c r="Q71" s="15">
        <v>36.0</v>
      </c>
      <c r="R71" s="16">
        <f t="shared" si="6"/>
        <v>960</v>
      </c>
      <c r="T71" s="15">
        <v>36.0</v>
      </c>
      <c r="U71" s="16">
        <f t="shared" si="7"/>
        <v>800</v>
      </c>
      <c r="W71" s="15">
        <v>36.0</v>
      </c>
      <c r="X71" s="16">
        <f t="shared" si="8"/>
        <v>960</v>
      </c>
    </row>
    <row r="72">
      <c r="B72" s="15">
        <v>37.0</v>
      </c>
      <c r="C72" s="19">
        <v>3500.0</v>
      </c>
      <c r="E72" s="15">
        <v>37.0</v>
      </c>
      <c r="F72" s="16">
        <f t="shared" si="2"/>
        <v>3795</v>
      </c>
      <c r="H72" s="15">
        <v>37.0</v>
      </c>
      <c r="I72" s="16">
        <f t="shared" si="3"/>
        <v>805</v>
      </c>
      <c r="K72" s="15">
        <v>37.0</v>
      </c>
      <c r="L72" s="16">
        <f t="shared" si="4"/>
        <v>575</v>
      </c>
      <c r="N72" s="15">
        <v>37.0</v>
      </c>
      <c r="O72" s="16">
        <f t="shared" si="5"/>
        <v>575</v>
      </c>
      <c r="Q72" s="15">
        <v>37.0</v>
      </c>
      <c r="R72" s="16">
        <f t="shared" si="6"/>
        <v>690</v>
      </c>
      <c r="T72" s="15">
        <v>37.0</v>
      </c>
      <c r="U72" s="16">
        <f t="shared" si="7"/>
        <v>575</v>
      </c>
      <c r="W72" s="15">
        <v>37.0</v>
      </c>
      <c r="X72" s="16">
        <f t="shared" si="8"/>
        <v>690</v>
      </c>
    </row>
    <row r="73">
      <c r="B73" s="15">
        <v>38.0</v>
      </c>
      <c r="C73" s="19">
        <v>7000.0</v>
      </c>
      <c r="E73" s="15">
        <v>38.0</v>
      </c>
      <c r="F73" s="16">
        <f t="shared" si="2"/>
        <v>3036</v>
      </c>
      <c r="H73" s="15">
        <v>38.0</v>
      </c>
      <c r="I73" s="16">
        <f t="shared" si="3"/>
        <v>644</v>
      </c>
      <c r="K73" s="15">
        <v>38.0</v>
      </c>
      <c r="L73" s="16">
        <f t="shared" si="4"/>
        <v>460</v>
      </c>
      <c r="N73" s="15">
        <v>38.0</v>
      </c>
      <c r="O73" s="16">
        <f t="shared" si="5"/>
        <v>460</v>
      </c>
      <c r="Q73" s="15">
        <v>38.0</v>
      </c>
      <c r="R73" s="16">
        <f t="shared" si="6"/>
        <v>552</v>
      </c>
      <c r="T73" s="15">
        <v>38.0</v>
      </c>
      <c r="U73" s="16">
        <f t="shared" si="7"/>
        <v>460</v>
      </c>
      <c r="W73" s="15">
        <v>38.0</v>
      </c>
      <c r="X73" s="16">
        <f t="shared" si="8"/>
        <v>552</v>
      </c>
    </row>
    <row r="74">
      <c r="B74" s="15">
        <v>39.0</v>
      </c>
      <c r="C74" s="19">
        <v>7000.0</v>
      </c>
      <c r="E74" s="15">
        <v>39.0</v>
      </c>
      <c r="F74" s="16">
        <f t="shared" si="2"/>
        <v>3036</v>
      </c>
      <c r="H74" s="15">
        <v>39.0</v>
      </c>
      <c r="I74" s="16">
        <f t="shared" si="3"/>
        <v>644</v>
      </c>
      <c r="K74" s="15">
        <v>39.0</v>
      </c>
      <c r="L74" s="16">
        <f t="shared" si="4"/>
        <v>460</v>
      </c>
      <c r="N74" s="15">
        <v>39.0</v>
      </c>
      <c r="O74" s="16">
        <f t="shared" si="5"/>
        <v>460</v>
      </c>
      <c r="Q74" s="15">
        <v>39.0</v>
      </c>
      <c r="R74" s="16">
        <f t="shared" si="6"/>
        <v>552</v>
      </c>
      <c r="T74" s="15">
        <v>39.0</v>
      </c>
      <c r="U74" s="16">
        <f t="shared" si="7"/>
        <v>460</v>
      </c>
      <c r="W74" s="15">
        <v>39.0</v>
      </c>
      <c r="X74" s="16">
        <f t="shared" si="8"/>
        <v>552</v>
      </c>
    </row>
    <row r="75">
      <c r="B75" s="15">
        <v>40.0</v>
      </c>
      <c r="C75" s="19">
        <v>3000.0</v>
      </c>
      <c r="E75" s="15">
        <v>40.0</v>
      </c>
      <c r="F75" s="16">
        <f t="shared" si="2"/>
        <v>2145</v>
      </c>
      <c r="H75" s="15">
        <v>40.0</v>
      </c>
      <c r="I75" s="16">
        <f t="shared" si="3"/>
        <v>455</v>
      </c>
      <c r="K75" s="15">
        <v>40.0</v>
      </c>
      <c r="L75" s="16">
        <f t="shared" si="4"/>
        <v>325</v>
      </c>
      <c r="N75" s="15">
        <v>40.0</v>
      </c>
      <c r="O75" s="16">
        <f t="shared" si="5"/>
        <v>325</v>
      </c>
      <c r="Q75" s="15">
        <v>40.0</v>
      </c>
      <c r="R75" s="16">
        <f t="shared" si="6"/>
        <v>390</v>
      </c>
      <c r="T75" s="15">
        <v>40.0</v>
      </c>
      <c r="U75" s="16">
        <f t="shared" si="7"/>
        <v>325</v>
      </c>
      <c r="W75" s="15">
        <v>40.0</v>
      </c>
      <c r="X75" s="16">
        <f t="shared" si="8"/>
        <v>390</v>
      </c>
    </row>
    <row r="76">
      <c r="B76" s="15">
        <v>41.0</v>
      </c>
      <c r="C76" s="19">
        <v>2000.0</v>
      </c>
      <c r="E76" s="15">
        <v>41.0</v>
      </c>
      <c r="F76" s="16">
        <f t="shared" si="2"/>
        <v>2607</v>
      </c>
      <c r="H76" s="15">
        <v>41.0</v>
      </c>
      <c r="I76" s="16">
        <f t="shared" si="3"/>
        <v>553</v>
      </c>
      <c r="K76" s="15">
        <v>41.0</v>
      </c>
      <c r="L76" s="16">
        <f t="shared" si="4"/>
        <v>395</v>
      </c>
      <c r="N76" s="15">
        <v>41.0</v>
      </c>
      <c r="O76" s="16">
        <f t="shared" si="5"/>
        <v>395</v>
      </c>
      <c r="Q76" s="15">
        <v>41.0</v>
      </c>
      <c r="R76" s="16">
        <f t="shared" si="6"/>
        <v>474</v>
      </c>
      <c r="T76" s="15">
        <v>41.0</v>
      </c>
      <c r="U76" s="16">
        <f t="shared" si="7"/>
        <v>395</v>
      </c>
      <c r="W76" s="15">
        <v>41.0</v>
      </c>
      <c r="X76" s="16">
        <f t="shared" si="8"/>
        <v>474</v>
      </c>
    </row>
    <row r="77">
      <c r="B77" s="15">
        <v>42.0</v>
      </c>
      <c r="C77" s="19">
        <v>900.0</v>
      </c>
      <c r="E77" s="15">
        <v>42.0</v>
      </c>
      <c r="F77" s="16">
        <f t="shared" si="2"/>
        <v>1914</v>
      </c>
      <c r="H77" s="15">
        <v>42.0</v>
      </c>
      <c r="I77" s="16">
        <f t="shared" si="3"/>
        <v>406</v>
      </c>
      <c r="K77" s="15">
        <v>42.0</v>
      </c>
      <c r="L77" s="16">
        <f t="shared" si="4"/>
        <v>290</v>
      </c>
      <c r="N77" s="15">
        <v>42.0</v>
      </c>
      <c r="O77" s="16">
        <f t="shared" si="5"/>
        <v>290</v>
      </c>
      <c r="Q77" s="15">
        <v>42.0</v>
      </c>
      <c r="R77" s="16">
        <f t="shared" si="6"/>
        <v>348</v>
      </c>
      <c r="T77" s="15">
        <v>42.0</v>
      </c>
      <c r="U77" s="16">
        <f t="shared" si="7"/>
        <v>290</v>
      </c>
      <c r="W77" s="15">
        <v>42.0</v>
      </c>
      <c r="X77" s="16">
        <f t="shared" si="8"/>
        <v>348</v>
      </c>
    </row>
    <row r="78">
      <c r="B78" s="15">
        <v>43.0</v>
      </c>
      <c r="C78" s="19">
        <v>1700.0</v>
      </c>
      <c r="E78" s="15">
        <v>43.0</v>
      </c>
      <c r="F78" s="16">
        <f t="shared" si="2"/>
        <v>1122</v>
      </c>
      <c r="H78" s="15">
        <v>43.0</v>
      </c>
      <c r="I78" s="16">
        <f t="shared" si="3"/>
        <v>238</v>
      </c>
      <c r="K78" s="15">
        <v>43.0</v>
      </c>
      <c r="L78" s="16">
        <f t="shared" si="4"/>
        <v>170</v>
      </c>
      <c r="N78" s="15">
        <v>43.0</v>
      </c>
      <c r="O78" s="16">
        <f t="shared" si="5"/>
        <v>170</v>
      </c>
      <c r="Q78" s="15">
        <v>43.0</v>
      </c>
      <c r="R78" s="16">
        <f t="shared" si="6"/>
        <v>204</v>
      </c>
      <c r="T78" s="15">
        <v>43.0</v>
      </c>
      <c r="U78" s="16">
        <f t="shared" si="7"/>
        <v>170</v>
      </c>
      <c r="W78" s="15">
        <v>43.0</v>
      </c>
      <c r="X78" s="16">
        <f t="shared" si="8"/>
        <v>204</v>
      </c>
    </row>
    <row r="79">
      <c r="B79" s="15">
        <v>44.0</v>
      </c>
      <c r="C79" s="19">
        <v>1200.0</v>
      </c>
      <c r="E79" s="15">
        <v>44.0</v>
      </c>
      <c r="F79" s="16">
        <f t="shared" si="2"/>
        <v>1056</v>
      </c>
      <c r="H79" s="15">
        <v>44.0</v>
      </c>
      <c r="I79" s="16">
        <f t="shared" si="3"/>
        <v>224</v>
      </c>
      <c r="K79" s="15">
        <v>44.0</v>
      </c>
      <c r="L79" s="16">
        <f t="shared" si="4"/>
        <v>160</v>
      </c>
      <c r="N79" s="15">
        <v>44.0</v>
      </c>
      <c r="O79" s="16">
        <f t="shared" si="5"/>
        <v>160</v>
      </c>
      <c r="Q79" s="15">
        <v>44.0</v>
      </c>
      <c r="R79" s="16">
        <f t="shared" si="6"/>
        <v>192</v>
      </c>
      <c r="T79" s="15">
        <v>44.0</v>
      </c>
      <c r="U79" s="16">
        <f t="shared" si="7"/>
        <v>160</v>
      </c>
      <c r="W79" s="15">
        <v>44.0</v>
      </c>
      <c r="X79" s="16">
        <f t="shared" si="8"/>
        <v>192</v>
      </c>
    </row>
    <row r="80">
      <c r="B80" s="15">
        <v>45.0</v>
      </c>
      <c r="C80" s="19">
        <v>500.0</v>
      </c>
      <c r="E80" s="15">
        <v>45.0</v>
      </c>
      <c r="F80" s="16">
        <f t="shared" si="2"/>
        <v>858</v>
      </c>
      <c r="H80" s="15">
        <v>45.0</v>
      </c>
      <c r="I80" s="16">
        <f t="shared" si="3"/>
        <v>182</v>
      </c>
      <c r="K80" s="15">
        <v>45.0</v>
      </c>
      <c r="L80" s="16">
        <f t="shared" si="4"/>
        <v>130</v>
      </c>
      <c r="N80" s="15">
        <v>45.0</v>
      </c>
      <c r="O80" s="16">
        <f t="shared" si="5"/>
        <v>130</v>
      </c>
      <c r="Q80" s="15">
        <v>45.0</v>
      </c>
      <c r="R80" s="16">
        <f t="shared" si="6"/>
        <v>156</v>
      </c>
      <c r="T80" s="15">
        <v>45.0</v>
      </c>
      <c r="U80" s="16">
        <f t="shared" si="7"/>
        <v>130</v>
      </c>
      <c r="W80" s="15">
        <v>45.0</v>
      </c>
      <c r="X80" s="16">
        <f t="shared" si="8"/>
        <v>156</v>
      </c>
    </row>
    <row r="81">
      <c r="B81" s="23">
        <v>46.0</v>
      </c>
      <c r="C81" s="24"/>
      <c r="E81" s="23">
        <v>46.0</v>
      </c>
      <c r="F81" s="36">
        <f t="shared" si="2"/>
        <v>0</v>
      </c>
      <c r="H81" s="23">
        <v>46.0</v>
      </c>
      <c r="I81" s="36">
        <f t="shared" si="3"/>
        <v>0</v>
      </c>
      <c r="K81" s="23">
        <v>46.0</v>
      </c>
      <c r="L81" s="36">
        <f t="shared" si="4"/>
        <v>0</v>
      </c>
      <c r="N81" s="23">
        <v>46.0</v>
      </c>
      <c r="O81" s="36">
        <f t="shared" si="5"/>
        <v>0</v>
      </c>
      <c r="Q81" s="23">
        <v>46.0</v>
      </c>
      <c r="R81" s="36">
        <f t="shared" si="6"/>
        <v>0</v>
      </c>
      <c r="T81" s="23">
        <v>46.0</v>
      </c>
      <c r="U81" s="36">
        <f t="shared" si="7"/>
        <v>0</v>
      </c>
      <c r="W81" s="23">
        <v>46.0</v>
      </c>
      <c r="X81" s="36">
        <f t="shared" si="8"/>
        <v>0</v>
      </c>
    </row>
    <row r="82">
      <c r="B82" s="27" t="s">
        <v>7</v>
      </c>
      <c r="C82" s="28">
        <f>SUM(C49:C81)</f>
        <v>230300</v>
      </c>
      <c r="E82" s="27" t="s">
        <v>7</v>
      </c>
      <c r="F82" s="28">
        <f>SUM(F49:F81)</f>
        <v>199320</v>
      </c>
      <c r="H82" s="27" t="s">
        <v>7</v>
      </c>
      <c r="I82" s="28">
        <f>SUM(I49:I81)</f>
        <v>42280</v>
      </c>
      <c r="K82" s="27" t="s">
        <v>7</v>
      </c>
      <c r="L82" s="28">
        <f>SUM(L49:L81)</f>
        <v>30200</v>
      </c>
      <c r="N82" s="27" t="s">
        <v>7</v>
      </c>
      <c r="O82" s="28">
        <f>SUM(O49:O81)</f>
        <v>30200</v>
      </c>
      <c r="Q82" s="27" t="s">
        <v>7</v>
      </c>
      <c r="R82" s="28">
        <f>SUM(R49:R81)</f>
        <v>36240</v>
      </c>
      <c r="T82" s="27" t="s">
        <v>7</v>
      </c>
      <c r="U82" s="28">
        <f>SUM(U49:U81)</f>
        <v>30200</v>
      </c>
      <c r="W82" s="27" t="s">
        <v>7</v>
      </c>
      <c r="X82" s="28">
        <f>SUM(X49:X81)</f>
        <v>36240</v>
      </c>
    </row>
    <row r="83">
      <c r="U83" s="1"/>
    </row>
    <row r="84">
      <c r="U84" s="1"/>
    </row>
    <row r="85">
      <c r="B85" s="27" t="s">
        <v>18</v>
      </c>
      <c r="C85" s="28">
        <f>SUM(C82,F82,I82,L82,O82,R82,U82,X82)</f>
        <v>634980</v>
      </c>
      <c r="U85" s="1"/>
    </row>
    <row r="86">
      <c r="B86" s="27" t="s">
        <v>19</v>
      </c>
      <c r="C86" s="28">
        <f>Y40</f>
        <v>604000</v>
      </c>
      <c r="U86" s="1"/>
    </row>
    <row r="87">
      <c r="B87" s="27" t="s">
        <v>20</v>
      </c>
      <c r="C87" s="28">
        <f>C86-C85</f>
        <v>-30980</v>
      </c>
      <c r="U87" s="1"/>
    </row>
    <row r="88">
      <c r="U88" s="1"/>
    </row>
    <row r="89">
      <c r="U89" s="1"/>
    </row>
    <row r="90">
      <c r="U90" s="1"/>
    </row>
    <row r="91">
      <c r="U91" s="1"/>
    </row>
    <row r="92">
      <c r="U92" s="1"/>
    </row>
    <row r="93">
      <c r="U93" s="1"/>
    </row>
    <row r="94">
      <c r="U94" s="1"/>
    </row>
    <row r="95">
      <c r="U95" s="1"/>
    </row>
    <row r="96">
      <c r="U96" s="1"/>
    </row>
    <row r="97">
      <c r="U97" s="1"/>
    </row>
    <row r="98">
      <c r="U98" s="1"/>
    </row>
    <row r="99">
      <c r="U99" s="1"/>
    </row>
    <row r="100">
      <c r="U100" s="1"/>
    </row>
    <row r="101">
      <c r="U101" s="1"/>
    </row>
    <row r="102">
      <c r="U102" s="1"/>
    </row>
    <row r="103">
      <c r="U103" s="1"/>
    </row>
    <row r="104">
      <c r="U104" s="1"/>
    </row>
    <row r="105">
      <c r="U105" s="1"/>
    </row>
    <row r="106">
      <c r="U106" s="1"/>
    </row>
    <row r="107">
      <c r="U107" s="1"/>
    </row>
    <row r="108">
      <c r="U108" s="1"/>
    </row>
    <row r="109">
      <c r="U109" s="1"/>
    </row>
    <row r="110">
      <c r="U110" s="1"/>
    </row>
    <row r="111">
      <c r="U111" s="1"/>
    </row>
    <row r="112">
      <c r="U112" s="1"/>
    </row>
    <row r="113">
      <c r="U113" s="1"/>
    </row>
    <row r="114">
      <c r="U114" s="1"/>
    </row>
    <row r="115">
      <c r="U115" s="1"/>
    </row>
    <row r="116">
      <c r="U116" s="1"/>
    </row>
    <row r="117">
      <c r="U117" s="1"/>
    </row>
    <row r="118">
      <c r="U118" s="1"/>
    </row>
    <row r="119">
      <c r="U119" s="1"/>
    </row>
    <row r="120">
      <c r="U120" s="1"/>
    </row>
    <row r="121">
      <c r="U121" s="1"/>
    </row>
    <row r="122">
      <c r="U122" s="1"/>
    </row>
    <row r="123">
      <c r="U123" s="1"/>
    </row>
    <row r="124">
      <c r="U124" s="1"/>
    </row>
    <row r="125">
      <c r="U125" s="1"/>
    </row>
    <row r="126">
      <c r="U126" s="1"/>
    </row>
    <row r="127">
      <c r="U127" s="1"/>
    </row>
    <row r="128">
      <c r="U128" s="1"/>
    </row>
    <row r="129">
      <c r="U129" s="1"/>
    </row>
    <row r="130">
      <c r="U130" s="1"/>
    </row>
    <row r="131">
      <c r="U131" s="1"/>
    </row>
    <row r="132">
      <c r="U132" s="1"/>
    </row>
    <row r="133">
      <c r="U133" s="1"/>
    </row>
    <row r="134">
      <c r="U134" s="1"/>
    </row>
    <row r="135">
      <c r="U135" s="1"/>
    </row>
    <row r="136">
      <c r="U136" s="1"/>
    </row>
    <row r="137">
      <c r="U137" s="1"/>
    </row>
    <row r="138">
      <c r="U138" s="1"/>
    </row>
    <row r="139">
      <c r="U139" s="1"/>
    </row>
    <row r="140">
      <c r="U140" s="1"/>
    </row>
    <row r="141">
      <c r="U141" s="1"/>
    </row>
    <row r="142">
      <c r="U142" s="1"/>
    </row>
    <row r="143">
      <c r="U143" s="1"/>
    </row>
    <row r="144">
      <c r="U144" s="1"/>
    </row>
    <row r="145">
      <c r="U145" s="1"/>
    </row>
    <row r="146">
      <c r="U146" s="1"/>
    </row>
    <row r="147">
      <c r="U147" s="1"/>
    </row>
    <row r="148">
      <c r="U148" s="1"/>
    </row>
    <row r="149">
      <c r="U149" s="1"/>
    </row>
    <row r="150">
      <c r="U150" s="1"/>
    </row>
    <row r="151">
      <c r="U151" s="1"/>
    </row>
    <row r="152">
      <c r="U152" s="1"/>
    </row>
    <row r="153">
      <c r="U153" s="1"/>
    </row>
    <row r="154">
      <c r="U154" s="1"/>
    </row>
    <row r="155">
      <c r="U155" s="1"/>
    </row>
    <row r="156">
      <c r="U156" s="1"/>
    </row>
    <row r="157">
      <c r="U157" s="1"/>
    </row>
    <row r="158">
      <c r="U158" s="1"/>
    </row>
    <row r="159">
      <c r="U159" s="1"/>
    </row>
    <row r="160">
      <c r="U160" s="1"/>
    </row>
    <row r="161">
      <c r="U161" s="1"/>
    </row>
    <row r="162">
      <c r="U162" s="1"/>
    </row>
    <row r="163">
      <c r="U163" s="1"/>
    </row>
    <row r="164">
      <c r="U164" s="1"/>
    </row>
    <row r="165">
      <c r="U165" s="1"/>
    </row>
    <row r="166">
      <c r="U166" s="1"/>
    </row>
    <row r="167">
      <c r="U167" s="1"/>
    </row>
    <row r="168">
      <c r="U168" s="1"/>
    </row>
    <row r="169">
      <c r="U169" s="1"/>
    </row>
    <row r="170">
      <c r="U170" s="1"/>
    </row>
    <row r="171">
      <c r="U171" s="1"/>
    </row>
    <row r="172">
      <c r="U172" s="1"/>
    </row>
    <row r="173">
      <c r="U173" s="1"/>
    </row>
    <row r="174">
      <c r="U174" s="1"/>
    </row>
    <row r="175">
      <c r="U175" s="1"/>
    </row>
    <row r="176">
      <c r="U176" s="1"/>
    </row>
    <row r="177">
      <c r="U177" s="1"/>
    </row>
    <row r="178">
      <c r="U178" s="1"/>
    </row>
    <row r="179">
      <c r="U179" s="1"/>
    </row>
    <row r="180">
      <c r="U180" s="1"/>
    </row>
    <row r="181">
      <c r="U181" s="1"/>
    </row>
    <row r="182">
      <c r="U182" s="1"/>
    </row>
    <row r="183">
      <c r="U183" s="1"/>
    </row>
    <row r="184">
      <c r="U184" s="1"/>
    </row>
    <row r="185">
      <c r="U185" s="1"/>
    </row>
    <row r="186">
      <c r="U186" s="1"/>
    </row>
    <row r="187">
      <c r="U187" s="1"/>
    </row>
    <row r="188">
      <c r="U188" s="1"/>
    </row>
    <row r="189">
      <c r="U189" s="1"/>
    </row>
    <row r="190">
      <c r="U190" s="1"/>
    </row>
    <row r="191">
      <c r="U191" s="1"/>
    </row>
    <row r="192">
      <c r="U192" s="1"/>
    </row>
    <row r="193">
      <c r="U193" s="1"/>
    </row>
    <row r="194">
      <c r="U194" s="1"/>
    </row>
    <row r="195">
      <c r="U195" s="1"/>
    </row>
    <row r="196">
      <c r="U196" s="1"/>
    </row>
    <row r="197">
      <c r="U197" s="1"/>
    </row>
    <row r="198">
      <c r="U198" s="1"/>
    </row>
    <row r="199">
      <c r="U199" s="1"/>
    </row>
    <row r="200">
      <c r="U200" s="1"/>
    </row>
    <row r="201">
      <c r="U201" s="1"/>
    </row>
    <row r="202">
      <c r="U202" s="1"/>
    </row>
    <row r="203">
      <c r="U203" s="1"/>
    </row>
    <row r="204">
      <c r="U204" s="1"/>
    </row>
    <row r="205">
      <c r="U205" s="1"/>
    </row>
    <row r="206">
      <c r="U206" s="1"/>
    </row>
    <row r="207">
      <c r="U207" s="1"/>
    </row>
    <row r="208">
      <c r="U208" s="1"/>
    </row>
    <row r="209">
      <c r="U209" s="1"/>
    </row>
    <row r="210">
      <c r="U210" s="1"/>
    </row>
    <row r="211">
      <c r="U211" s="1"/>
    </row>
    <row r="212">
      <c r="U212" s="1"/>
    </row>
    <row r="213">
      <c r="U213" s="1"/>
    </row>
    <row r="214">
      <c r="U214" s="1"/>
    </row>
    <row r="215">
      <c r="U215" s="1"/>
    </row>
    <row r="216">
      <c r="U216" s="1"/>
    </row>
    <row r="217">
      <c r="U217" s="1"/>
    </row>
    <row r="218">
      <c r="U218" s="1"/>
    </row>
    <row r="219">
      <c r="U219" s="1"/>
    </row>
    <row r="220">
      <c r="U220" s="1"/>
    </row>
    <row r="221">
      <c r="U221" s="1"/>
    </row>
    <row r="222">
      <c r="U222" s="1"/>
    </row>
    <row r="223">
      <c r="U223" s="1"/>
    </row>
    <row r="224">
      <c r="U224" s="1"/>
    </row>
    <row r="225">
      <c r="U225" s="1"/>
    </row>
    <row r="226">
      <c r="U226" s="1"/>
    </row>
    <row r="227">
      <c r="U227" s="1"/>
    </row>
    <row r="228">
      <c r="U228" s="1"/>
    </row>
    <row r="229">
      <c r="U229" s="1"/>
    </row>
    <row r="230">
      <c r="U230" s="1"/>
    </row>
    <row r="231">
      <c r="U231" s="1"/>
    </row>
    <row r="232">
      <c r="U232" s="1"/>
    </row>
    <row r="233">
      <c r="U233" s="1"/>
    </row>
    <row r="234">
      <c r="U234" s="1"/>
    </row>
    <row r="235">
      <c r="U235" s="1"/>
    </row>
    <row r="236">
      <c r="U236" s="1"/>
    </row>
    <row r="237">
      <c r="U237" s="1"/>
    </row>
    <row r="238">
      <c r="U238" s="1"/>
    </row>
    <row r="239">
      <c r="U239" s="1"/>
    </row>
    <row r="240">
      <c r="U240" s="1"/>
    </row>
    <row r="241">
      <c r="U241" s="1"/>
    </row>
    <row r="242">
      <c r="U242" s="1"/>
    </row>
    <row r="243">
      <c r="U243" s="1"/>
    </row>
    <row r="244">
      <c r="U244" s="1"/>
    </row>
    <row r="245">
      <c r="U245" s="1"/>
    </row>
    <row r="246">
      <c r="U246" s="1"/>
    </row>
    <row r="247">
      <c r="U247" s="1"/>
    </row>
    <row r="248">
      <c r="U248" s="1"/>
    </row>
    <row r="249">
      <c r="U249" s="1"/>
    </row>
    <row r="250">
      <c r="U250" s="1"/>
    </row>
    <row r="251">
      <c r="U251" s="1"/>
    </row>
    <row r="252">
      <c r="U252" s="1"/>
    </row>
    <row r="253">
      <c r="U253" s="1"/>
    </row>
    <row r="254">
      <c r="U254" s="1"/>
    </row>
    <row r="255">
      <c r="U255" s="1"/>
    </row>
    <row r="256">
      <c r="U256" s="1"/>
    </row>
    <row r="257">
      <c r="U257" s="1"/>
    </row>
    <row r="258">
      <c r="U258" s="1"/>
    </row>
    <row r="259">
      <c r="U259" s="1"/>
    </row>
    <row r="260">
      <c r="U260" s="1"/>
    </row>
    <row r="261">
      <c r="U261" s="1"/>
    </row>
    <row r="262">
      <c r="U262" s="1"/>
    </row>
    <row r="263">
      <c r="U263" s="1"/>
    </row>
    <row r="264">
      <c r="U264" s="1"/>
    </row>
    <row r="265">
      <c r="U265" s="1"/>
    </row>
    <row r="266">
      <c r="U266" s="1"/>
    </row>
    <row r="267">
      <c r="U267" s="1"/>
    </row>
    <row r="268">
      <c r="U268" s="1"/>
    </row>
    <row r="269">
      <c r="U269" s="1"/>
    </row>
    <row r="270">
      <c r="U270" s="1"/>
    </row>
    <row r="271">
      <c r="U271" s="1"/>
    </row>
    <row r="272">
      <c r="U272" s="1"/>
    </row>
    <row r="273">
      <c r="U273" s="1"/>
    </row>
    <row r="274">
      <c r="U274" s="1"/>
    </row>
    <row r="275">
      <c r="U275" s="1"/>
    </row>
    <row r="276">
      <c r="U276" s="1"/>
    </row>
    <row r="277">
      <c r="U277" s="1"/>
    </row>
    <row r="278">
      <c r="U278" s="1"/>
    </row>
    <row r="279">
      <c r="U279" s="1"/>
    </row>
    <row r="280">
      <c r="U280" s="1"/>
    </row>
    <row r="281">
      <c r="U281" s="1"/>
    </row>
    <row r="282">
      <c r="U282" s="1"/>
    </row>
    <row r="283">
      <c r="U283" s="1"/>
    </row>
    <row r="284">
      <c r="U284" s="1"/>
    </row>
    <row r="285">
      <c r="U285" s="1"/>
    </row>
    <row r="286">
      <c r="U286" s="1"/>
    </row>
    <row r="287">
      <c r="U287" s="1"/>
    </row>
    <row r="288">
      <c r="U288" s="1"/>
    </row>
    <row r="289">
      <c r="U289" s="1"/>
    </row>
    <row r="290">
      <c r="U290" s="1"/>
    </row>
    <row r="291">
      <c r="U291" s="1"/>
    </row>
    <row r="292">
      <c r="U292" s="1"/>
    </row>
    <row r="293">
      <c r="U293" s="1"/>
    </row>
    <row r="294">
      <c r="U294" s="1"/>
    </row>
    <row r="295">
      <c r="U295" s="1"/>
    </row>
    <row r="296">
      <c r="U296" s="1"/>
    </row>
    <row r="297">
      <c r="U297" s="1"/>
    </row>
    <row r="298">
      <c r="U298" s="1"/>
    </row>
    <row r="299">
      <c r="U299" s="1"/>
    </row>
    <row r="300">
      <c r="U300" s="1"/>
    </row>
    <row r="301">
      <c r="U301" s="1"/>
    </row>
    <row r="302">
      <c r="U302" s="1"/>
    </row>
    <row r="303">
      <c r="U303" s="1"/>
    </row>
    <row r="304">
      <c r="U304" s="1"/>
    </row>
    <row r="305">
      <c r="U305" s="1"/>
    </row>
    <row r="306">
      <c r="U306" s="1"/>
    </row>
    <row r="307">
      <c r="U307" s="1"/>
    </row>
    <row r="308">
      <c r="U308" s="1"/>
    </row>
    <row r="309">
      <c r="U309" s="1"/>
    </row>
    <row r="310">
      <c r="U310" s="1"/>
    </row>
    <row r="311">
      <c r="U311" s="1"/>
    </row>
    <row r="312">
      <c r="U312" s="1"/>
    </row>
    <row r="313">
      <c r="U313" s="1"/>
    </row>
    <row r="314">
      <c r="U314" s="1"/>
    </row>
    <row r="315">
      <c r="U315" s="1"/>
    </row>
    <row r="316">
      <c r="U316" s="1"/>
    </row>
    <row r="317">
      <c r="U317" s="1"/>
    </row>
    <row r="318">
      <c r="U318" s="1"/>
    </row>
    <row r="319">
      <c r="U319" s="1"/>
    </row>
    <row r="320">
      <c r="U320" s="1"/>
    </row>
    <row r="321">
      <c r="U321" s="1"/>
    </row>
    <row r="322">
      <c r="U322" s="1"/>
    </row>
    <row r="323">
      <c r="U323" s="1"/>
    </row>
    <row r="324">
      <c r="U324" s="1"/>
    </row>
    <row r="325">
      <c r="U325" s="1"/>
    </row>
    <row r="326">
      <c r="U326" s="1"/>
    </row>
    <row r="327">
      <c r="U327" s="1"/>
    </row>
    <row r="328">
      <c r="U328" s="1"/>
    </row>
    <row r="329">
      <c r="U329" s="1"/>
    </row>
    <row r="330">
      <c r="U330" s="1"/>
    </row>
    <row r="331">
      <c r="U331" s="1"/>
    </row>
    <row r="332">
      <c r="U332" s="1"/>
    </row>
    <row r="333">
      <c r="U333" s="1"/>
    </row>
    <row r="334">
      <c r="U334" s="1"/>
    </row>
    <row r="335">
      <c r="U335" s="1"/>
    </row>
    <row r="336">
      <c r="U336" s="1"/>
    </row>
    <row r="337">
      <c r="U337" s="1"/>
    </row>
    <row r="338">
      <c r="U338" s="1"/>
    </row>
    <row r="339">
      <c r="U339" s="1"/>
    </row>
    <row r="340">
      <c r="U340" s="1"/>
    </row>
    <row r="341">
      <c r="U341" s="1"/>
    </row>
    <row r="342">
      <c r="U342" s="1"/>
    </row>
    <row r="343">
      <c r="U343" s="1"/>
    </row>
    <row r="344">
      <c r="U344" s="1"/>
    </row>
    <row r="345">
      <c r="U345" s="1"/>
    </row>
    <row r="346">
      <c r="U346" s="1"/>
    </row>
    <row r="347">
      <c r="U347" s="1"/>
    </row>
    <row r="348">
      <c r="U348" s="1"/>
    </row>
    <row r="349">
      <c r="U349" s="1"/>
    </row>
    <row r="350">
      <c r="U350" s="1"/>
    </row>
    <row r="351">
      <c r="U351" s="1"/>
    </row>
    <row r="352">
      <c r="U352" s="1"/>
    </row>
    <row r="353">
      <c r="U353" s="1"/>
    </row>
    <row r="354">
      <c r="U354" s="1"/>
    </row>
    <row r="355">
      <c r="U355" s="1"/>
    </row>
    <row r="356">
      <c r="U356" s="1"/>
    </row>
    <row r="357">
      <c r="U357" s="1"/>
    </row>
    <row r="358">
      <c r="U358" s="1"/>
    </row>
    <row r="359">
      <c r="U359" s="1"/>
    </row>
    <row r="360">
      <c r="U360" s="1"/>
    </row>
    <row r="361">
      <c r="U361" s="1"/>
    </row>
    <row r="362">
      <c r="U362" s="1"/>
    </row>
    <row r="363">
      <c r="U363" s="1"/>
    </row>
    <row r="364">
      <c r="U364" s="1"/>
    </row>
    <row r="365">
      <c r="U365" s="1"/>
    </row>
    <row r="366">
      <c r="U366" s="1"/>
    </row>
    <row r="367">
      <c r="U367" s="1"/>
    </row>
    <row r="368">
      <c r="U368" s="1"/>
    </row>
    <row r="369">
      <c r="U369" s="1"/>
    </row>
    <row r="370">
      <c r="U370" s="1"/>
    </row>
    <row r="371">
      <c r="U371" s="1"/>
    </row>
    <row r="372">
      <c r="U372" s="1"/>
    </row>
    <row r="373">
      <c r="U373" s="1"/>
    </row>
    <row r="374">
      <c r="U374" s="1"/>
    </row>
    <row r="375">
      <c r="U375" s="1"/>
    </row>
    <row r="376">
      <c r="U376" s="1"/>
    </row>
    <row r="377">
      <c r="U377" s="1"/>
    </row>
    <row r="378">
      <c r="U378" s="1"/>
    </row>
    <row r="379">
      <c r="U379" s="1"/>
    </row>
    <row r="380">
      <c r="U380" s="1"/>
    </row>
    <row r="381">
      <c r="U381" s="1"/>
    </row>
    <row r="382">
      <c r="U382" s="1"/>
    </row>
    <row r="383">
      <c r="U383" s="1"/>
    </row>
    <row r="384">
      <c r="U384" s="1"/>
    </row>
    <row r="385">
      <c r="U385" s="1"/>
    </row>
    <row r="386">
      <c r="U386" s="1"/>
    </row>
    <row r="387">
      <c r="U387" s="1"/>
    </row>
    <row r="388">
      <c r="U388" s="1"/>
    </row>
    <row r="389">
      <c r="U389" s="1"/>
    </row>
    <row r="390">
      <c r="U390" s="1"/>
    </row>
    <row r="391">
      <c r="U391" s="1"/>
    </row>
    <row r="392">
      <c r="U392" s="1"/>
    </row>
    <row r="393">
      <c r="U393" s="1"/>
    </row>
    <row r="394">
      <c r="U394" s="1"/>
    </row>
    <row r="395">
      <c r="U395" s="1"/>
    </row>
    <row r="396">
      <c r="U396" s="1"/>
    </row>
    <row r="397">
      <c r="U397" s="1"/>
    </row>
    <row r="398">
      <c r="U398" s="1"/>
    </row>
    <row r="399">
      <c r="U399" s="1"/>
    </row>
    <row r="400">
      <c r="U400" s="1"/>
    </row>
    <row r="401">
      <c r="U401" s="1"/>
    </row>
    <row r="402">
      <c r="U402" s="1"/>
    </row>
    <row r="403">
      <c r="U403" s="1"/>
    </row>
    <row r="404">
      <c r="U404" s="1"/>
    </row>
    <row r="405">
      <c r="U405" s="1"/>
    </row>
    <row r="406">
      <c r="U406" s="1"/>
    </row>
    <row r="407">
      <c r="U407" s="1"/>
    </row>
    <row r="408">
      <c r="U408" s="1"/>
    </row>
    <row r="409">
      <c r="U409" s="1"/>
    </row>
    <row r="410">
      <c r="U410" s="1"/>
    </row>
    <row r="411">
      <c r="U411" s="1"/>
    </row>
    <row r="412">
      <c r="U412" s="1"/>
    </row>
    <row r="413">
      <c r="U413" s="1"/>
    </row>
    <row r="414">
      <c r="U414" s="1"/>
    </row>
    <row r="415">
      <c r="U415" s="1"/>
    </row>
    <row r="416">
      <c r="U416" s="1"/>
    </row>
    <row r="417">
      <c r="U417" s="1"/>
    </row>
    <row r="418">
      <c r="U418" s="1"/>
    </row>
    <row r="419">
      <c r="U419" s="1"/>
    </row>
    <row r="420">
      <c r="U420" s="1"/>
    </row>
    <row r="421">
      <c r="U421" s="1"/>
    </row>
    <row r="422">
      <c r="U422" s="1"/>
    </row>
    <row r="423">
      <c r="U423" s="1"/>
    </row>
    <row r="424">
      <c r="U424" s="1"/>
    </row>
    <row r="425">
      <c r="U425" s="1"/>
    </row>
    <row r="426">
      <c r="U426" s="1"/>
    </row>
    <row r="427">
      <c r="U427" s="1"/>
    </row>
    <row r="428">
      <c r="U428" s="1"/>
    </row>
    <row r="429">
      <c r="U429" s="1"/>
    </row>
    <row r="430">
      <c r="U430" s="1"/>
    </row>
    <row r="431">
      <c r="U431" s="1"/>
    </row>
    <row r="432">
      <c r="U432" s="1"/>
    </row>
    <row r="433">
      <c r="U433" s="1"/>
    </row>
    <row r="434">
      <c r="U434" s="1"/>
    </row>
    <row r="435">
      <c r="U435" s="1"/>
    </row>
    <row r="436">
      <c r="U436" s="1"/>
    </row>
    <row r="437">
      <c r="U437" s="1"/>
    </row>
    <row r="438">
      <c r="U438" s="1"/>
    </row>
    <row r="439">
      <c r="U439" s="1"/>
    </row>
    <row r="440">
      <c r="U440" s="1"/>
    </row>
    <row r="441">
      <c r="U441" s="1"/>
    </row>
    <row r="442">
      <c r="U442" s="1"/>
    </row>
    <row r="443">
      <c r="U443" s="1"/>
    </row>
    <row r="444">
      <c r="U444" s="1"/>
    </row>
    <row r="445">
      <c r="U445" s="1"/>
    </row>
    <row r="446">
      <c r="U446" s="1"/>
    </row>
    <row r="447">
      <c r="U447" s="1"/>
    </row>
    <row r="448">
      <c r="U448" s="1"/>
    </row>
    <row r="449">
      <c r="U449" s="1"/>
    </row>
    <row r="450">
      <c r="U450" s="1"/>
    </row>
    <row r="451">
      <c r="U451" s="1"/>
    </row>
    <row r="452">
      <c r="U452" s="1"/>
    </row>
    <row r="453">
      <c r="U453" s="1"/>
    </row>
    <row r="454">
      <c r="U454" s="1"/>
    </row>
    <row r="455">
      <c r="U455" s="1"/>
    </row>
    <row r="456">
      <c r="U456" s="1"/>
    </row>
    <row r="457">
      <c r="U457" s="1"/>
    </row>
    <row r="458">
      <c r="U458" s="1"/>
    </row>
    <row r="459">
      <c r="U459" s="1"/>
    </row>
    <row r="460">
      <c r="U460" s="1"/>
    </row>
    <row r="461">
      <c r="U461" s="1"/>
    </row>
    <row r="462">
      <c r="U462" s="1"/>
    </row>
    <row r="463">
      <c r="U463" s="1"/>
    </row>
    <row r="464">
      <c r="U464" s="1"/>
    </row>
    <row r="465">
      <c r="U465" s="1"/>
    </row>
    <row r="466">
      <c r="U466" s="1"/>
    </row>
    <row r="467">
      <c r="U467" s="1"/>
    </row>
    <row r="468">
      <c r="U468" s="1"/>
    </row>
    <row r="469">
      <c r="U469" s="1"/>
    </row>
    <row r="470">
      <c r="U470" s="1"/>
    </row>
    <row r="471">
      <c r="U471" s="1"/>
    </row>
    <row r="472">
      <c r="U472" s="1"/>
    </row>
    <row r="473">
      <c r="U473" s="1"/>
    </row>
    <row r="474">
      <c r="U474" s="1"/>
    </row>
    <row r="475">
      <c r="U475" s="1"/>
    </row>
    <row r="476">
      <c r="U476" s="1"/>
    </row>
    <row r="477">
      <c r="U477" s="1"/>
    </row>
    <row r="478">
      <c r="U478" s="1"/>
    </row>
    <row r="479">
      <c r="U479" s="1"/>
    </row>
    <row r="480">
      <c r="U480" s="1"/>
    </row>
    <row r="481">
      <c r="U481" s="1"/>
    </row>
    <row r="482">
      <c r="U482" s="1"/>
    </row>
    <row r="483">
      <c r="U483" s="1"/>
    </row>
    <row r="484">
      <c r="U484" s="1"/>
    </row>
    <row r="485">
      <c r="U485" s="1"/>
    </row>
    <row r="486">
      <c r="U486" s="1"/>
    </row>
    <row r="487">
      <c r="U487" s="1"/>
    </row>
    <row r="488">
      <c r="U488" s="1"/>
    </row>
    <row r="489">
      <c r="U489" s="1"/>
    </row>
    <row r="490">
      <c r="U490" s="1"/>
    </row>
    <row r="491">
      <c r="U491" s="1"/>
    </row>
    <row r="492">
      <c r="U492" s="1"/>
    </row>
    <row r="493">
      <c r="U493" s="1"/>
    </row>
    <row r="494">
      <c r="U494" s="1"/>
    </row>
    <row r="495">
      <c r="U495" s="1"/>
    </row>
    <row r="496">
      <c r="U496" s="1"/>
    </row>
    <row r="497">
      <c r="U497" s="1"/>
    </row>
    <row r="498">
      <c r="U498" s="1"/>
    </row>
    <row r="499">
      <c r="U499" s="1"/>
    </row>
    <row r="500">
      <c r="U500" s="1"/>
    </row>
    <row r="501">
      <c r="U501" s="1"/>
    </row>
    <row r="502">
      <c r="U502" s="1"/>
    </row>
    <row r="503">
      <c r="U503" s="1"/>
    </row>
    <row r="504">
      <c r="U504" s="1"/>
    </row>
    <row r="505">
      <c r="U505" s="1"/>
    </row>
    <row r="506">
      <c r="U506" s="1"/>
    </row>
    <row r="507">
      <c r="U507" s="1"/>
    </row>
    <row r="508">
      <c r="U508" s="1"/>
    </row>
    <row r="509">
      <c r="U509" s="1"/>
    </row>
    <row r="510">
      <c r="U510" s="1"/>
    </row>
    <row r="511">
      <c r="U511" s="1"/>
    </row>
    <row r="512">
      <c r="U512" s="1"/>
    </row>
    <row r="513">
      <c r="U513" s="1"/>
    </row>
    <row r="514">
      <c r="U514" s="1"/>
    </row>
    <row r="515">
      <c r="U515" s="1"/>
    </row>
    <row r="516">
      <c r="U516" s="1"/>
    </row>
    <row r="517">
      <c r="U517" s="1"/>
    </row>
    <row r="518">
      <c r="U518" s="1"/>
    </row>
    <row r="519">
      <c r="U519" s="1"/>
    </row>
    <row r="520">
      <c r="U520" s="1"/>
    </row>
    <row r="521">
      <c r="U521" s="1"/>
    </row>
    <row r="522">
      <c r="U522" s="1"/>
    </row>
    <row r="523">
      <c r="U523" s="1"/>
    </row>
    <row r="524">
      <c r="U524" s="1"/>
    </row>
    <row r="525">
      <c r="U525" s="1"/>
    </row>
    <row r="526">
      <c r="U526" s="1"/>
    </row>
    <row r="527">
      <c r="U527" s="1"/>
    </row>
    <row r="528">
      <c r="U528" s="1"/>
    </row>
    <row r="529">
      <c r="U529" s="1"/>
    </row>
    <row r="530">
      <c r="U530" s="1"/>
    </row>
    <row r="531">
      <c r="U531" s="1"/>
    </row>
    <row r="532">
      <c r="U532" s="1"/>
    </row>
    <row r="533">
      <c r="U533" s="1"/>
    </row>
    <row r="534">
      <c r="U534" s="1"/>
    </row>
    <row r="535">
      <c r="U535" s="1"/>
    </row>
    <row r="536">
      <c r="U536" s="1"/>
    </row>
    <row r="537">
      <c r="U537" s="1"/>
    </row>
    <row r="538">
      <c r="U538" s="1"/>
    </row>
    <row r="539">
      <c r="U539" s="1"/>
    </row>
    <row r="540">
      <c r="U540" s="1"/>
    </row>
    <row r="541">
      <c r="U541" s="1"/>
    </row>
    <row r="542">
      <c r="U542" s="1"/>
    </row>
    <row r="543">
      <c r="U543" s="1"/>
    </row>
    <row r="544">
      <c r="U544" s="1"/>
    </row>
    <row r="545">
      <c r="U545" s="1"/>
    </row>
    <row r="546">
      <c r="U546" s="1"/>
    </row>
    <row r="547">
      <c r="U547" s="1"/>
    </row>
    <row r="548">
      <c r="U548" s="1"/>
    </row>
    <row r="549">
      <c r="U549" s="1"/>
    </row>
    <row r="550">
      <c r="U550" s="1"/>
    </row>
    <row r="551">
      <c r="U551" s="1"/>
    </row>
    <row r="552">
      <c r="U552" s="1"/>
    </row>
    <row r="553">
      <c r="U553" s="1"/>
    </row>
    <row r="554">
      <c r="U554" s="1"/>
    </row>
    <row r="555">
      <c r="U555" s="1"/>
    </row>
    <row r="556">
      <c r="U556" s="1"/>
    </row>
    <row r="557">
      <c r="U557" s="1"/>
    </row>
    <row r="558">
      <c r="U558" s="1"/>
    </row>
    <row r="559">
      <c r="U559" s="1"/>
    </row>
    <row r="560">
      <c r="U560" s="1"/>
    </row>
    <row r="561">
      <c r="U561" s="1"/>
    </row>
    <row r="562">
      <c r="U562" s="1"/>
    </row>
    <row r="563">
      <c r="U563" s="1"/>
    </row>
    <row r="564">
      <c r="U564" s="1"/>
    </row>
    <row r="565">
      <c r="U565" s="1"/>
    </row>
    <row r="566">
      <c r="U566" s="1"/>
    </row>
    <row r="567">
      <c r="U567" s="1"/>
    </row>
    <row r="568">
      <c r="U568" s="1"/>
    </row>
    <row r="569">
      <c r="U569" s="1"/>
    </row>
    <row r="570">
      <c r="U570" s="1"/>
    </row>
    <row r="571">
      <c r="U571" s="1"/>
    </row>
    <row r="572">
      <c r="U572" s="1"/>
    </row>
    <row r="573">
      <c r="U573" s="1"/>
    </row>
    <row r="574">
      <c r="U574" s="1"/>
    </row>
    <row r="575">
      <c r="U575" s="1"/>
    </row>
    <row r="576">
      <c r="U576" s="1"/>
    </row>
    <row r="577">
      <c r="U577" s="1"/>
    </row>
    <row r="578">
      <c r="U578" s="1"/>
    </row>
    <row r="579">
      <c r="U579" s="1"/>
    </row>
    <row r="580">
      <c r="U580" s="1"/>
    </row>
    <row r="581">
      <c r="U581" s="1"/>
    </row>
    <row r="582">
      <c r="U582" s="1"/>
    </row>
    <row r="583">
      <c r="U583" s="1"/>
    </row>
    <row r="584">
      <c r="U584" s="1"/>
    </row>
    <row r="585">
      <c r="U585" s="1"/>
    </row>
    <row r="586">
      <c r="U586" s="1"/>
    </row>
    <row r="587">
      <c r="U587" s="1"/>
    </row>
    <row r="588">
      <c r="U588" s="1"/>
    </row>
    <row r="589">
      <c r="U589" s="1"/>
    </row>
    <row r="590">
      <c r="U590" s="1"/>
    </row>
    <row r="591">
      <c r="U591" s="1"/>
    </row>
    <row r="592">
      <c r="U592" s="1"/>
    </row>
    <row r="593">
      <c r="U593" s="1"/>
    </row>
    <row r="594">
      <c r="U594" s="1"/>
    </row>
    <row r="595">
      <c r="U595" s="1"/>
    </row>
    <row r="596">
      <c r="U596" s="1"/>
    </row>
    <row r="597">
      <c r="U597" s="1"/>
    </row>
    <row r="598">
      <c r="U598" s="1"/>
    </row>
    <row r="599">
      <c r="U599" s="1"/>
    </row>
    <row r="600">
      <c r="U600" s="1"/>
    </row>
    <row r="601">
      <c r="U601" s="1"/>
    </row>
    <row r="602">
      <c r="U602" s="1"/>
    </row>
    <row r="603">
      <c r="U603" s="1"/>
    </row>
    <row r="604">
      <c r="U604" s="1"/>
    </row>
    <row r="605">
      <c r="U605" s="1"/>
    </row>
    <row r="606">
      <c r="U606" s="1"/>
    </row>
    <row r="607">
      <c r="U607" s="1"/>
    </row>
    <row r="608">
      <c r="U608" s="1"/>
    </row>
    <row r="609">
      <c r="U609" s="1"/>
    </row>
    <row r="610">
      <c r="U610" s="1"/>
    </row>
    <row r="611">
      <c r="U611" s="1"/>
    </row>
    <row r="612">
      <c r="U612" s="1"/>
    </row>
    <row r="613">
      <c r="U613" s="1"/>
    </row>
    <row r="614">
      <c r="U614" s="1"/>
    </row>
    <row r="615">
      <c r="U615" s="1"/>
    </row>
    <row r="616">
      <c r="U616" s="1"/>
    </row>
    <row r="617">
      <c r="U617" s="1"/>
    </row>
    <row r="618">
      <c r="U618" s="1"/>
    </row>
    <row r="619">
      <c r="U619" s="1"/>
    </row>
    <row r="620">
      <c r="U620" s="1"/>
    </row>
    <row r="621">
      <c r="U621" s="1"/>
    </row>
    <row r="622">
      <c r="U622" s="1"/>
    </row>
    <row r="623">
      <c r="U623" s="1"/>
    </row>
    <row r="624">
      <c r="U624" s="1"/>
    </row>
    <row r="625">
      <c r="U625" s="1"/>
    </row>
    <row r="626">
      <c r="U626" s="1"/>
    </row>
    <row r="627">
      <c r="U627" s="1"/>
    </row>
    <row r="628">
      <c r="U628" s="1"/>
    </row>
    <row r="629">
      <c r="U629" s="1"/>
    </row>
    <row r="630">
      <c r="U630" s="1"/>
    </row>
    <row r="631">
      <c r="U631" s="1"/>
    </row>
    <row r="632">
      <c r="U632" s="1"/>
    </row>
    <row r="633">
      <c r="U633" s="1"/>
    </row>
    <row r="634">
      <c r="U634" s="1"/>
    </row>
    <row r="635">
      <c r="U635" s="1"/>
    </row>
    <row r="636">
      <c r="U636" s="1"/>
    </row>
    <row r="637">
      <c r="U637" s="1"/>
    </row>
    <row r="638">
      <c r="U638" s="1"/>
    </row>
    <row r="639">
      <c r="U639" s="1"/>
    </row>
    <row r="640">
      <c r="U640" s="1"/>
    </row>
    <row r="641">
      <c r="U641" s="1"/>
    </row>
    <row r="642">
      <c r="U642" s="1"/>
    </row>
    <row r="643">
      <c r="U643" s="1"/>
    </row>
    <row r="644">
      <c r="U644" s="1"/>
    </row>
    <row r="645">
      <c r="U645" s="1"/>
    </row>
    <row r="646">
      <c r="U646" s="1"/>
    </row>
    <row r="647">
      <c r="U647" s="1"/>
    </row>
    <row r="648">
      <c r="U648" s="1"/>
    </row>
    <row r="649">
      <c r="U649" s="1"/>
    </row>
    <row r="650">
      <c r="U650" s="1"/>
    </row>
    <row r="651">
      <c r="U651" s="1"/>
    </row>
    <row r="652">
      <c r="U652" s="1"/>
    </row>
    <row r="653">
      <c r="U653" s="1"/>
    </row>
    <row r="654">
      <c r="U654" s="1"/>
    </row>
    <row r="655">
      <c r="U655" s="1"/>
    </row>
    <row r="656">
      <c r="U656" s="1"/>
    </row>
    <row r="657">
      <c r="U657" s="1"/>
    </row>
    <row r="658">
      <c r="U658" s="1"/>
    </row>
    <row r="659">
      <c r="U659" s="1"/>
    </row>
    <row r="660">
      <c r="U660" s="1"/>
    </row>
    <row r="661">
      <c r="U661" s="1"/>
    </row>
    <row r="662">
      <c r="U662" s="1"/>
    </row>
    <row r="663">
      <c r="U663" s="1"/>
    </row>
    <row r="664">
      <c r="U664" s="1"/>
    </row>
    <row r="665">
      <c r="U665" s="1"/>
    </row>
    <row r="666">
      <c r="U666" s="1"/>
    </row>
    <row r="667">
      <c r="U667" s="1"/>
    </row>
    <row r="668">
      <c r="U668" s="1"/>
    </row>
    <row r="669">
      <c r="U669" s="1"/>
    </row>
    <row r="670">
      <c r="U670" s="1"/>
    </row>
    <row r="671">
      <c r="U671" s="1"/>
    </row>
    <row r="672">
      <c r="U672" s="1"/>
    </row>
    <row r="673">
      <c r="U673" s="1"/>
    </row>
    <row r="674">
      <c r="U674" s="1"/>
    </row>
    <row r="675">
      <c r="U675" s="1"/>
    </row>
    <row r="676">
      <c r="U676" s="1"/>
    </row>
    <row r="677">
      <c r="U677" s="1"/>
    </row>
    <row r="678">
      <c r="U678" s="1"/>
    </row>
    <row r="679">
      <c r="U679" s="1"/>
    </row>
    <row r="680">
      <c r="U680" s="1"/>
    </row>
    <row r="681">
      <c r="U681" s="1"/>
    </row>
    <row r="682">
      <c r="U682" s="1"/>
    </row>
    <row r="683">
      <c r="U683" s="1"/>
    </row>
    <row r="684">
      <c r="U684" s="1"/>
    </row>
    <row r="685">
      <c r="U685" s="1"/>
    </row>
    <row r="686">
      <c r="U686" s="1"/>
    </row>
    <row r="687">
      <c r="U687" s="1"/>
    </row>
    <row r="688">
      <c r="U688" s="1"/>
    </row>
    <row r="689">
      <c r="U689" s="1"/>
    </row>
    <row r="690">
      <c r="U690" s="1"/>
    </row>
    <row r="691">
      <c r="U691" s="1"/>
    </row>
    <row r="692">
      <c r="U692" s="1"/>
    </row>
    <row r="693">
      <c r="U693" s="1"/>
    </row>
    <row r="694">
      <c r="U694" s="1"/>
    </row>
    <row r="695">
      <c r="U695" s="1"/>
    </row>
    <row r="696">
      <c r="U696" s="1"/>
    </row>
    <row r="697">
      <c r="U697" s="1"/>
    </row>
    <row r="698">
      <c r="U698" s="1"/>
    </row>
    <row r="699">
      <c r="U699" s="1"/>
    </row>
    <row r="700">
      <c r="U700" s="1"/>
    </row>
    <row r="701">
      <c r="U701" s="1"/>
    </row>
    <row r="702">
      <c r="U702" s="1"/>
    </row>
    <row r="703">
      <c r="U703" s="1"/>
    </row>
    <row r="704">
      <c r="U704" s="1"/>
    </row>
    <row r="705">
      <c r="U705" s="1"/>
    </row>
    <row r="706">
      <c r="U706" s="1"/>
    </row>
    <row r="707">
      <c r="U707" s="1"/>
    </row>
    <row r="708">
      <c r="U708" s="1"/>
    </row>
    <row r="709">
      <c r="U709" s="1"/>
    </row>
    <row r="710">
      <c r="U710" s="1"/>
    </row>
    <row r="711">
      <c r="U711" s="1"/>
    </row>
    <row r="712">
      <c r="U712" s="1"/>
    </row>
    <row r="713">
      <c r="U713" s="1"/>
    </row>
    <row r="714">
      <c r="U714" s="1"/>
    </row>
    <row r="715">
      <c r="U715" s="1"/>
    </row>
    <row r="716">
      <c r="U716" s="1"/>
    </row>
    <row r="717">
      <c r="U717" s="1"/>
    </row>
    <row r="718">
      <c r="U718" s="1"/>
    </row>
    <row r="719">
      <c r="U719" s="1"/>
    </row>
    <row r="720">
      <c r="U720" s="1"/>
    </row>
    <row r="721">
      <c r="U721" s="1"/>
    </row>
    <row r="722">
      <c r="U722" s="1"/>
    </row>
    <row r="723">
      <c r="U723" s="1"/>
    </row>
    <row r="724">
      <c r="U724" s="1"/>
    </row>
    <row r="725">
      <c r="U725" s="1"/>
    </row>
    <row r="726">
      <c r="U726" s="1"/>
    </row>
    <row r="727">
      <c r="U727" s="1"/>
    </row>
    <row r="728">
      <c r="U728" s="1"/>
    </row>
    <row r="729">
      <c r="U729" s="1"/>
    </row>
    <row r="730">
      <c r="U730" s="1"/>
    </row>
    <row r="731">
      <c r="U731" s="1"/>
    </row>
    <row r="732">
      <c r="U732" s="1"/>
    </row>
    <row r="733">
      <c r="U733" s="1"/>
    </row>
    <row r="734">
      <c r="U734" s="1"/>
    </row>
    <row r="735">
      <c r="U735" s="1"/>
    </row>
    <row r="736">
      <c r="U736" s="1"/>
    </row>
    <row r="737">
      <c r="U737" s="1"/>
    </row>
    <row r="738">
      <c r="U738" s="1"/>
    </row>
    <row r="739">
      <c r="U739" s="1"/>
    </row>
    <row r="740">
      <c r="U740" s="1"/>
    </row>
    <row r="741">
      <c r="U741" s="1"/>
    </row>
    <row r="742">
      <c r="U742" s="1"/>
    </row>
    <row r="743">
      <c r="U743" s="1"/>
    </row>
    <row r="744">
      <c r="U744" s="1"/>
    </row>
    <row r="745">
      <c r="U745" s="1"/>
    </row>
    <row r="746">
      <c r="U746" s="1"/>
    </row>
    <row r="747">
      <c r="U747" s="1"/>
    </row>
    <row r="748">
      <c r="U748" s="1"/>
    </row>
    <row r="749">
      <c r="U749" s="1"/>
    </row>
    <row r="750">
      <c r="U750" s="1"/>
    </row>
    <row r="751">
      <c r="U751" s="1"/>
    </row>
    <row r="752">
      <c r="U752" s="1"/>
    </row>
    <row r="753">
      <c r="U753" s="1"/>
    </row>
    <row r="754">
      <c r="U754" s="1"/>
    </row>
    <row r="755">
      <c r="U755" s="1"/>
    </row>
    <row r="756">
      <c r="U756" s="1"/>
    </row>
    <row r="757">
      <c r="U757" s="1"/>
    </row>
    <row r="758">
      <c r="U758" s="1"/>
    </row>
    <row r="759">
      <c r="U759" s="1"/>
    </row>
    <row r="760">
      <c r="U760" s="1"/>
    </row>
    <row r="761">
      <c r="U761" s="1"/>
    </row>
    <row r="762">
      <c r="U762" s="1"/>
    </row>
    <row r="763">
      <c r="U763" s="1"/>
    </row>
    <row r="764">
      <c r="U764" s="1"/>
    </row>
    <row r="765">
      <c r="U765" s="1"/>
    </row>
    <row r="766">
      <c r="U766" s="1"/>
    </row>
    <row r="767">
      <c r="U767" s="1"/>
    </row>
    <row r="768">
      <c r="U768" s="1"/>
    </row>
    <row r="769">
      <c r="U769" s="1"/>
    </row>
    <row r="770">
      <c r="U770" s="1"/>
    </row>
    <row r="771">
      <c r="U771" s="1"/>
    </row>
    <row r="772">
      <c r="U772" s="1"/>
    </row>
    <row r="773">
      <c r="U773" s="1"/>
    </row>
    <row r="774">
      <c r="U774" s="1"/>
    </row>
    <row r="775">
      <c r="U775" s="1"/>
    </row>
    <row r="776">
      <c r="U776" s="1"/>
    </row>
    <row r="777">
      <c r="U777" s="1"/>
    </row>
    <row r="778">
      <c r="U778" s="1"/>
    </row>
    <row r="779">
      <c r="U779" s="1"/>
    </row>
    <row r="780">
      <c r="U780" s="1"/>
    </row>
    <row r="781">
      <c r="U781" s="1"/>
    </row>
    <row r="782">
      <c r="U782" s="1"/>
    </row>
    <row r="783">
      <c r="U783" s="1"/>
    </row>
    <row r="784">
      <c r="U784" s="1"/>
    </row>
    <row r="785">
      <c r="U785" s="1"/>
    </row>
    <row r="786">
      <c r="U786" s="1"/>
    </row>
    <row r="787">
      <c r="U787" s="1"/>
    </row>
    <row r="788">
      <c r="U788" s="1"/>
    </row>
    <row r="789">
      <c r="U789" s="1"/>
    </row>
    <row r="790">
      <c r="U790" s="1"/>
    </row>
    <row r="791">
      <c r="U791" s="1"/>
    </row>
    <row r="792">
      <c r="U792" s="1"/>
    </row>
    <row r="793">
      <c r="U793" s="1"/>
    </row>
    <row r="794">
      <c r="U794" s="1"/>
    </row>
    <row r="795">
      <c r="U795" s="1"/>
    </row>
    <row r="796">
      <c r="U796" s="1"/>
    </row>
    <row r="797">
      <c r="U797" s="1"/>
    </row>
    <row r="798">
      <c r="U798" s="1"/>
    </row>
    <row r="799">
      <c r="U799" s="1"/>
    </row>
    <row r="800">
      <c r="U800" s="1"/>
    </row>
    <row r="801">
      <c r="U801" s="1"/>
    </row>
    <row r="802">
      <c r="U802" s="1"/>
    </row>
    <row r="803">
      <c r="U803" s="1"/>
    </row>
    <row r="804">
      <c r="U804" s="1"/>
    </row>
    <row r="805">
      <c r="U805" s="1"/>
    </row>
    <row r="806">
      <c r="U806" s="1"/>
    </row>
    <row r="807">
      <c r="U807" s="1"/>
    </row>
    <row r="808">
      <c r="U808" s="1"/>
    </row>
    <row r="809">
      <c r="U809" s="1"/>
    </row>
    <row r="810">
      <c r="U810" s="1"/>
    </row>
    <row r="811">
      <c r="U811" s="1"/>
    </row>
    <row r="812">
      <c r="U812" s="1"/>
    </row>
    <row r="813">
      <c r="U813" s="1"/>
    </row>
    <row r="814">
      <c r="U814" s="1"/>
    </row>
    <row r="815">
      <c r="U815" s="1"/>
    </row>
    <row r="816">
      <c r="U816" s="1"/>
    </row>
    <row r="817">
      <c r="U817" s="1"/>
    </row>
    <row r="818">
      <c r="U818" s="1"/>
    </row>
    <row r="819">
      <c r="U819" s="1"/>
    </row>
    <row r="820">
      <c r="U820" s="1"/>
    </row>
    <row r="821">
      <c r="U821" s="1"/>
    </row>
    <row r="822">
      <c r="U822" s="1"/>
    </row>
    <row r="823">
      <c r="U823" s="1"/>
    </row>
    <row r="824">
      <c r="U824" s="1"/>
    </row>
    <row r="825">
      <c r="U825" s="1"/>
    </row>
    <row r="826">
      <c r="U826" s="1"/>
    </row>
    <row r="827">
      <c r="U827" s="1"/>
    </row>
    <row r="828">
      <c r="U828" s="1"/>
    </row>
    <row r="829">
      <c r="U829" s="1"/>
    </row>
    <row r="830">
      <c r="U830" s="1"/>
    </row>
    <row r="831">
      <c r="U831" s="1"/>
    </row>
    <row r="832">
      <c r="U832" s="1"/>
    </row>
    <row r="833">
      <c r="U833" s="1"/>
    </row>
    <row r="834">
      <c r="U834" s="1"/>
    </row>
    <row r="835">
      <c r="U835" s="1"/>
    </row>
    <row r="836">
      <c r="U836" s="1"/>
    </row>
    <row r="837">
      <c r="U837" s="1"/>
    </row>
    <row r="838">
      <c r="U838" s="1"/>
    </row>
    <row r="839">
      <c r="U839" s="1"/>
    </row>
    <row r="840">
      <c r="U840" s="1"/>
    </row>
    <row r="841">
      <c r="U841" s="1"/>
    </row>
    <row r="842">
      <c r="U842" s="1"/>
    </row>
    <row r="843">
      <c r="U843" s="1"/>
    </row>
    <row r="844">
      <c r="U844" s="1"/>
    </row>
    <row r="845">
      <c r="U845" s="1"/>
    </row>
    <row r="846">
      <c r="U846" s="1"/>
    </row>
    <row r="847">
      <c r="U847" s="1"/>
    </row>
    <row r="848">
      <c r="U848" s="1"/>
    </row>
    <row r="849">
      <c r="U849" s="1"/>
    </row>
    <row r="850">
      <c r="U850" s="1"/>
    </row>
    <row r="851">
      <c r="U851" s="1"/>
    </row>
    <row r="852">
      <c r="U852" s="1"/>
    </row>
    <row r="853">
      <c r="U853" s="1"/>
    </row>
    <row r="854">
      <c r="U854" s="1"/>
    </row>
    <row r="855">
      <c r="U855" s="1"/>
    </row>
    <row r="856">
      <c r="U856" s="1"/>
    </row>
    <row r="857">
      <c r="U857" s="1"/>
    </row>
    <row r="858">
      <c r="U858" s="1"/>
    </row>
    <row r="859">
      <c r="U859" s="1"/>
    </row>
    <row r="860">
      <c r="U860" s="1"/>
    </row>
    <row r="861">
      <c r="U861" s="1"/>
    </row>
    <row r="862">
      <c r="U862" s="1"/>
    </row>
    <row r="863">
      <c r="U863" s="1"/>
    </row>
    <row r="864">
      <c r="U864" s="1"/>
    </row>
    <row r="865">
      <c r="U865" s="1"/>
    </row>
    <row r="866">
      <c r="U866" s="1"/>
    </row>
    <row r="867">
      <c r="U867" s="1"/>
    </row>
    <row r="868">
      <c r="U868" s="1"/>
    </row>
    <row r="869">
      <c r="U869" s="1"/>
    </row>
    <row r="870">
      <c r="U870" s="1"/>
    </row>
    <row r="871">
      <c r="U871" s="1"/>
    </row>
    <row r="872">
      <c r="U872" s="1"/>
    </row>
    <row r="873">
      <c r="U873" s="1"/>
    </row>
    <row r="874">
      <c r="U874" s="1"/>
    </row>
    <row r="875">
      <c r="U875" s="1"/>
    </row>
    <row r="876">
      <c r="U876" s="1"/>
    </row>
    <row r="877">
      <c r="U877" s="1"/>
    </row>
    <row r="878">
      <c r="U878" s="1"/>
    </row>
    <row r="879">
      <c r="U879" s="1"/>
    </row>
    <row r="880">
      <c r="U880" s="1"/>
    </row>
    <row r="881">
      <c r="U881" s="1"/>
    </row>
    <row r="882">
      <c r="U882" s="1"/>
    </row>
    <row r="883">
      <c r="U883" s="1"/>
    </row>
    <row r="884">
      <c r="U884" s="1"/>
    </row>
    <row r="885">
      <c r="U885" s="1"/>
    </row>
    <row r="886">
      <c r="U886" s="1"/>
    </row>
    <row r="887">
      <c r="U887" s="1"/>
    </row>
    <row r="888">
      <c r="U888" s="1"/>
    </row>
    <row r="889">
      <c r="U889" s="1"/>
    </row>
    <row r="890">
      <c r="U890" s="1"/>
    </row>
    <row r="891">
      <c r="U891" s="1"/>
    </row>
    <row r="892">
      <c r="U892" s="1"/>
    </row>
    <row r="893">
      <c r="U893" s="1"/>
    </row>
    <row r="894">
      <c r="U894" s="1"/>
    </row>
    <row r="895">
      <c r="U895" s="1"/>
    </row>
    <row r="896">
      <c r="U896" s="1"/>
    </row>
    <row r="897">
      <c r="U897" s="1"/>
    </row>
    <row r="898">
      <c r="U898" s="1"/>
    </row>
    <row r="899">
      <c r="U899" s="1"/>
    </row>
    <row r="900">
      <c r="U900" s="1"/>
    </row>
    <row r="901">
      <c r="U901" s="1"/>
    </row>
    <row r="902">
      <c r="U902" s="1"/>
    </row>
    <row r="903">
      <c r="U903" s="1"/>
    </row>
    <row r="904">
      <c r="U904" s="1"/>
    </row>
    <row r="905">
      <c r="U905" s="1"/>
    </row>
    <row r="906">
      <c r="U906" s="1"/>
    </row>
    <row r="907">
      <c r="U907" s="1"/>
    </row>
    <row r="908">
      <c r="U908" s="1"/>
    </row>
    <row r="909">
      <c r="U909" s="1"/>
    </row>
    <row r="910">
      <c r="U910" s="1"/>
    </row>
    <row r="911">
      <c r="U911" s="1"/>
    </row>
    <row r="912">
      <c r="U912" s="1"/>
    </row>
    <row r="913">
      <c r="U913" s="1"/>
    </row>
    <row r="914">
      <c r="U914" s="1"/>
    </row>
    <row r="915">
      <c r="U915" s="1"/>
    </row>
    <row r="916">
      <c r="U916" s="1"/>
    </row>
    <row r="917">
      <c r="U917" s="1"/>
    </row>
    <row r="918">
      <c r="U918" s="1"/>
    </row>
    <row r="919">
      <c r="U919" s="1"/>
    </row>
    <row r="920">
      <c r="U920" s="1"/>
    </row>
    <row r="921">
      <c r="U921" s="1"/>
    </row>
    <row r="922">
      <c r="U922" s="1"/>
    </row>
    <row r="923">
      <c r="U923" s="1"/>
    </row>
    <row r="924">
      <c r="U924" s="1"/>
    </row>
    <row r="925">
      <c r="U925" s="1"/>
    </row>
    <row r="926">
      <c r="U926" s="1"/>
    </row>
    <row r="927">
      <c r="U927" s="1"/>
    </row>
    <row r="928">
      <c r="U928" s="1"/>
    </row>
    <row r="929">
      <c r="U929" s="1"/>
    </row>
    <row r="930">
      <c r="U930" s="1"/>
    </row>
    <row r="931">
      <c r="U931" s="1"/>
    </row>
    <row r="932">
      <c r="U932" s="1"/>
    </row>
    <row r="933">
      <c r="U933" s="1"/>
    </row>
    <row r="934">
      <c r="U934" s="1"/>
    </row>
    <row r="935">
      <c r="U935" s="1"/>
    </row>
    <row r="936">
      <c r="U936" s="1"/>
    </row>
    <row r="937">
      <c r="U937" s="1"/>
    </row>
    <row r="938">
      <c r="U938" s="1"/>
    </row>
    <row r="939">
      <c r="U939" s="1"/>
    </row>
    <row r="940">
      <c r="U940" s="1"/>
    </row>
    <row r="941">
      <c r="U941" s="1"/>
    </row>
    <row r="942">
      <c r="U942" s="1"/>
    </row>
    <row r="943">
      <c r="U943" s="1"/>
    </row>
    <row r="944">
      <c r="U944" s="1"/>
    </row>
    <row r="945">
      <c r="U945" s="1"/>
    </row>
    <row r="946">
      <c r="U946" s="1"/>
    </row>
    <row r="947">
      <c r="U947" s="1"/>
    </row>
    <row r="948">
      <c r="U948" s="1"/>
    </row>
    <row r="949">
      <c r="U949" s="1"/>
    </row>
    <row r="950">
      <c r="U950" s="1"/>
    </row>
    <row r="951">
      <c r="U951" s="1"/>
    </row>
    <row r="952">
      <c r="U952" s="1"/>
    </row>
    <row r="953">
      <c r="U953" s="1"/>
    </row>
    <row r="954">
      <c r="U954" s="1"/>
    </row>
    <row r="955">
      <c r="U955" s="1"/>
    </row>
    <row r="956">
      <c r="U956" s="1"/>
    </row>
    <row r="957">
      <c r="U957" s="1"/>
    </row>
    <row r="958">
      <c r="U958" s="1"/>
    </row>
    <row r="959">
      <c r="U959" s="1"/>
    </row>
    <row r="960">
      <c r="U960" s="1"/>
    </row>
    <row r="961">
      <c r="U961" s="1"/>
    </row>
    <row r="962">
      <c r="U962" s="1"/>
    </row>
    <row r="963">
      <c r="U963" s="1"/>
    </row>
    <row r="964">
      <c r="U964" s="1"/>
    </row>
    <row r="965">
      <c r="U965" s="1"/>
    </row>
    <row r="966">
      <c r="U966" s="1"/>
    </row>
    <row r="967">
      <c r="U967" s="1"/>
    </row>
    <row r="968">
      <c r="U968" s="1"/>
    </row>
    <row r="969">
      <c r="U969" s="1"/>
    </row>
    <row r="970">
      <c r="U970" s="1"/>
    </row>
    <row r="971">
      <c r="U971" s="1"/>
    </row>
    <row r="972">
      <c r="U972" s="1"/>
    </row>
    <row r="973">
      <c r="U973" s="1"/>
    </row>
    <row r="974">
      <c r="U974" s="1"/>
    </row>
    <row r="975">
      <c r="U975" s="1"/>
    </row>
    <row r="976">
      <c r="U976" s="1"/>
    </row>
    <row r="977">
      <c r="U977" s="1"/>
    </row>
    <row r="978">
      <c r="U978" s="1"/>
    </row>
    <row r="979">
      <c r="U979" s="1"/>
    </row>
    <row r="980">
      <c r="U980" s="1"/>
    </row>
    <row r="981">
      <c r="U981" s="1"/>
    </row>
    <row r="982">
      <c r="U982" s="1"/>
    </row>
    <row r="983">
      <c r="U983" s="1"/>
    </row>
    <row r="984">
      <c r="U984" s="1"/>
    </row>
    <row r="985">
      <c r="U985" s="1"/>
    </row>
    <row r="986">
      <c r="U986" s="1"/>
    </row>
    <row r="987">
      <c r="U987" s="1"/>
    </row>
    <row r="988">
      <c r="U988" s="1"/>
    </row>
    <row r="989">
      <c r="U989" s="1"/>
    </row>
    <row r="990">
      <c r="U990" s="1"/>
    </row>
    <row r="991">
      <c r="U991" s="1"/>
    </row>
    <row r="992">
      <c r="U992" s="1"/>
    </row>
    <row r="993">
      <c r="U993" s="1"/>
    </row>
    <row r="994">
      <c r="U994" s="1"/>
    </row>
    <row r="995">
      <c r="U995" s="1"/>
    </row>
    <row r="996">
      <c r="U996" s="1"/>
    </row>
    <row r="997">
      <c r="U997" s="1"/>
    </row>
    <row r="998">
      <c r="U998" s="1"/>
    </row>
    <row r="999">
      <c r="U999" s="1"/>
    </row>
    <row r="1000">
      <c r="U1000" s="1"/>
    </row>
  </sheetData>
  <mergeCells count="16">
    <mergeCell ref="E5:F5"/>
    <mergeCell ref="H5:I5"/>
    <mergeCell ref="K5:L5"/>
    <mergeCell ref="N5:O5"/>
    <mergeCell ref="Q5:R5"/>
    <mergeCell ref="T5:U5"/>
    <mergeCell ref="X5:Y5"/>
    <mergeCell ref="T47:U47"/>
    <mergeCell ref="W47:X47"/>
    <mergeCell ref="B5:C5"/>
    <mergeCell ref="B47:C47"/>
    <mergeCell ref="E47:F47"/>
    <mergeCell ref="H47:I47"/>
    <mergeCell ref="K47:L47"/>
    <mergeCell ref="N47:O47"/>
    <mergeCell ref="Q47:R47"/>
  </mergeCells>
  <conditionalFormatting sqref="C87">
    <cfRule type="cellIs" dxfId="0" priority="1" operator="greaterThanOrEqual">
      <formula>0</formula>
    </cfRule>
  </conditionalFormatting>
  <conditionalFormatting sqref="C87">
    <cfRule type="cellIs" dxfId="1" priority="2" operator="less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2" t="s">
        <v>0</v>
      </c>
      <c r="C5" s="3"/>
    </row>
    <row r="6">
      <c r="B6" s="6" t="s">
        <v>8</v>
      </c>
      <c r="C6" s="6" t="s">
        <v>9</v>
      </c>
    </row>
    <row r="7">
      <c r="B7" s="10">
        <v>14.0</v>
      </c>
      <c r="C7" s="11"/>
    </row>
    <row r="8">
      <c r="B8" s="15">
        <v>15.0</v>
      </c>
      <c r="C8" s="16"/>
    </row>
    <row r="9">
      <c r="B9" s="15">
        <v>16.0</v>
      </c>
      <c r="C9" s="19">
        <v>8000.0</v>
      </c>
    </row>
    <row r="10">
      <c r="B10" s="15">
        <v>17.0</v>
      </c>
      <c r="C10" s="19">
        <v>9000.0</v>
      </c>
    </row>
    <row r="11">
      <c r="B11" s="15">
        <v>18.0</v>
      </c>
      <c r="C11" s="19">
        <v>15000.0</v>
      </c>
    </row>
    <row r="12">
      <c r="B12" s="15">
        <v>19.0</v>
      </c>
      <c r="C12" s="19">
        <v>11000.0</v>
      </c>
    </row>
    <row r="13">
      <c r="B13" s="15">
        <v>20.0</v>
      </c>
      <c r="C13" s="19">
        <v>8000.0</v>
      </c>
    </row>
    <row r="14">
      <c r="B14" s="15">
        <v>21.0</v>
      </c>
      <c r="C14" s="16"/>
    </row>
    <row r="15">
      <c r="B15" s="15">
        <v>22.0</v>
      </c>
      <c r="C15" s="16"/>
    </row>
    <row r="16">
      <c r="B16" s="15">
        <v>23.0</v>
      </c>
      <c r="C16" s="16"/>
    </row>
    <row r="17">
      <c r="B17" s="15">
        <v>24.0</v>
      </c>
      <c r="C17" s="16"/>
    </row>
    <row r="18">
      <c r="B18" s="15">
        <v>25.0</v>
      </c>
      <c r="C18" s="16"/>
    </row>
    <row r="19">
      <c r="B19" s="15">
        <v>26.0</v>
      </c>
      <c r="C19" s="16"/>
    </row>
    <row r="20">
      <c r="B20" s="15">
        <v>27.0</v>
      </c>
      <c r="C20" s="16"/>
    </row>
    <row r="21">
      <c r="B21" s="15">
        <v>28.0</v>
      </c>
      <c r="C21" s="16"/>
    </row>
    <row r="22">
      <c r="B22" s="15">
        <v>29.0</v>
      </c>
      <c r="C22" s="16"/>
    </row>
    <row r="23">
      <c r="B23" s="15">
        <v>30.0</v>
      </c>
      <c r="C23" s="16"/>
    </row>
    <row r="24">
      <c r="B24" s="15">
        <v>31.0</v>
      </c>
      <c r="C24" s="16"/>
    </row>
    <row r="25">
      <c r="B25" s="15">
        <v>32.0</v>
      </c>
      <c r="C25" s="16"/>
    </row>
    <row r="26">
      <c r="B26" s="15">
        <v>33.0</v>
      </c>
      <c r="C26" s="16"/>
    </row>
    <row r="27">
      <c r="B27" s="15">
        <v>34.0</v>
      </c>
      <c r="C27" s="16"/>
    </row>
    <row r="28">
      <c r="B28" s="15">
        <v>35.0</v>
      </c>
      <c r="C28" s="16"/>
    </row>
    <row r="29">
      <c r="B29" s="15">
        <v>36.0</v>
      </c>
      <c r="C29" s="16"/>
    </row>
    <row r="30">
      <c r="B30" s="15">
        <v>37.0</v>
      </c>
      <c r="C30" s="16"/>
    </row>
    <row r="31">
      <c r="B31" s="15">
        <v>38.0</v>
      </c>
      <c r="C31" s="16"/>
    </row>
    <row r="32">
      <c r="B32" s="15">
        <v>39.0</v>
      </c>
      <c r="C32" s="19">
        <v>500.0</v>
      </c>
    </row>
    <row r="33">
      <c r="B33" s="15">
        <v>40.0</v>
      </c>
      <c r="C33" s="19">
        <v>3500.0</v>
      </c>
    </row>
    <row r="34">
      <c r="B34" s="15">
        <v>41.0</v>
      </c>
      <c r="C34" s="19">
        <v>5000.0</v>
      </c>
    </row>
    <row r="35">
      <c r="B35" s="15">
        <v>42.0</v>
      </c>
      <c r="C35" s="19">
        <v>3500.0</v>
      </c>
    </row>
    <row r="36">
      <c r="B36" s="15">
        <v>43.0</v>
      </c>
      <c r="C36" s="19">
        <v>1500.0</v>
      </c>
    </row>
    <row r="37">
      <c r="B37" s="15">
        <v>44.0</v>
      </c>
      <c r="C37" s="19">
        <v>1000.0</v>
      </c>
    </row>
    <row r="38">
      <c r="B38" s="15">
        <v>45.0</v>
      </c>
      <c r="C38" s="19">
        <v>1500.0</v>
      </c>
    </row>
    <row r="39">
      <c r="B39" s="23">
        <v>46.0</v>
      </c>
      <c r="C39" s="24">
        <v>500.0</v>
      </c>
    </row>
    <row r="40">
      <c r="B40" s="27" t="s">
        <v>7</v>
      </c>
      <c r="C40" s="28">
        <f>SUM(C7:C39)</f>
        <v>68000</v>
      </c>
    </row>
  </sheetData>
  <mergeCells count="1">
    <mergeCell ref="B5:C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0.25"/>
  </cols>
  <sheetData>
    <row r="5">
      <c r="B5" s="2" t="s">
        <v>0</v>
      </c>
      <c r="C5" s="3"/>
      <c r="E5" s="2" t="s">
        <v>1</v>
      </c>
      <c r="F5" s="3"/>
      <c r="H5" s="2" t="s">
        <v>2</v>
      </c>
      <c r="I5" s="3"/>
      <c r="K5" s="2" t="s">
        <v>3</v>
      </c>
      <c r="L5" s="3"/>
      <c r="N5" s="2" t="s">
        <v>4</v>
      </c>
      <c r="O5" s="3"/>
      <c r="Q5" s="2" t="s">
        <v>5</v>
      </c>
      <c r="R5" s="3"/>
      <c r="T5" s="2" t="s">
        <v>21</v>
      </c>
      <c r="U5" s="3"/>
      <c r="W5" s="2" t="s">
        <v>22</v>
      </c>
      <c r="X5" s="3"/>
      <c r="Z5" s="37" t="s">
        <v>23</v>
      </c>
      <c r="AA5" s="3"/>
      <c r="AE5" s="5" t="s">
        <v>7</v>
      </c>
      <c r="AF5" s="3"/>
      <c r="AG5" s="38"/>
      <c r="AH5" s="38"/>
    </row>
    <row r="6">
      <c r="B6" s="6" t="s">
        <v>8</v>
      </c>
      <c r="C6" s="6" t="s">
        <v>9</v>
      </c>
      <c r="E6" s="6" t="s">
        <v>8</v>
      </c>
      <c r="F6" s="6" t="s">
        <v>9</v>
      </c>
      <c r="H6" s="6" t="s">
        <v>8</v>
      </c>
      <c r="I6" s="6" t="s">
        <v>9</v>
      </c>
      <c r="K6" s="6" t="s">
        <v>8</v>
      </c>
      <c r="L6" s="6" t="s">
        <v>9</v>
      </c>
      <c r="N6" s="6" t="s">
        <v>8</v>
      </c>
      <c r="O6" s="6" t="s">
        <v>9</v>
      </c>
      <c r="Q6" s="6" t="s">
        <v>8</v>
      </c>
      <c r="R6" s="6" t="s">
        <v>9</v>
      </c>
      <c r="T6" s="6" t="s">
        <v>8</v>
      </c>
      <c r="U6" s="6" t="s">
        <v>9</v>
      </c>
      <c r="W6" s="6" t="s">
        <v>8</v>
      </c>
      <c r="X6" s="6" t="s">
        <v>9</v>
      </c>
      <c r="Z6" s="39" t="s">
        <v>8</v>
      </c>
      <c r="AA6" s="39" t="s">
        <v>9</v>
      </c>
      <c r="AE6" s="6" t="s">
        <v>8</v>
      </c>
      <c r="AF6" s="9" t="s">
        <v>9</v>
      </c>
      <c r="AG6" s="40"/>
      <c r="AH6" s="40"/>
    </row>
    <row r="7">
      <c r="B7" s="10">
        <v>14.0</v>
      </c>
      <c r="C7" s="11"/>
      <c r="E7" s="10">
        <v>14.0</v>
      </c>
      <c r="F7" s="11"/>
      <c r="H7" s="10">
        <v>14.0</v>
      </c>
      <c r="I7" s="11"/>
      <c r="K7" s="10">
        <v>14.0</v>
      </c>
      <c r="L7" s="11"/>
      <c r="N7" s="10">
        <v>14.0</v>
      </c>
      <c r="O7" s="12"/>
      <c r="Q7" s="10">
        <v>14.0</v>
      </c>
      <c r="R7" s="12"/>
      <c r="T7" s="10">
        <v>14.0</v>
      </c>
      <c r="U7" s="12"/>
      <c r="W7" s="10">
        <v>14.0</v>
      </c>
      <c r="X7" s="41">
        <v>0.0</v>
      </c>
      <c r="Z7" s="13">
        <v>14.0</v>
      </c>
      <c r="AA7" s="42"/>
      <c r="AE7" s="10">
        <v>14.0</v>
      </c>
      <c r="AF7" s="43">
        <f t="shared" ref="AF7:AF14" si="1">SUM(X7,U7,R7,O7,L7,I7,F7,C7)</f>
        <v>0</v>
      </c>
      <c r="AG7" s="27"/>
      <c r="AH7" s="27"/>
    </row>
    <row r="8">
      <c r="B8" s="15">
        <v>15.0</v>
      </c>
      <c r="C8" s="16"/>
      <c r="E8" s="15">
        <v>15.0</v>
      </c>
      <c r="F8" s="16"/>
      <c r="H8" s="15">
        <v>15.0</v>
      </c>
      <c r="I8" s="16"/>
      <c r="K8" s="15">
        <v>15.0</v>
      </c>
      <c r="L8" s="16"/>
      <c r="N8" s="15">
        <v>15.0</v>
      </c>
      <c r="O8" s="16"/>
      <c r="Q8" s="15">
        <v>15.0</v>
      </c>
      <c r="R8" s="16"/>
      <c r="T8" s="15">
        <v>15.0</v>
      </c>
      <c r="U8" s="16"/>
      <c r="W8" s="15">
        <v>15.0</v>
      </c>
      <c r="X8" s="44">
        <v>0.0</v>
      </c>
      <c r="Z8" s="17">
        <v>15.0</v>
      </c>
      <c r="AA8" s="45"/>
      <c r="AE8" s="15">
        <v>15.0</v>
      </c>
      <c r="AF8" s="46">
        <f t="shared" si="1"/>
        <v>0</v>
      </c>
      <c r="AG8" s="27"/>
      <c r="AH8" s="27"/>
    </row>
    <row r="9">
      <c r="B9" s="15">
        <v>16.0</v>
      </c>
      <c r="C9" s="16"/>
      <c r="E9" s="15">
        <v>16.0</v>
      </c>
      <c r="F9" s="16"/>
      <c r="H9" s="15">
        <v>16.0</v>
      </c>
      <c r="I9" s="16"/>
      <c r="K9" s="15">
        <v>16.0</v>
      </c>
      <c r="L9" s="16"/>
      <c r="N9" s="15">
        <v>16.0</v>
      </c>
      <c r="O9" s="16"/>
      <c r="Q9" s="15">
        <v>16.0</v>
      </c>
      <c r="R9" s="16"/>
      <c r="T9" s="15">
        <v>16.0</v>
      </c>
      <c r="U9" s="16"/>
      <c r="W9" s="15">
        <v>16.0</v>
      </c>
      <c r="X9" s="44">
        <v>0.0</v>
      </c>
      <c r="Z9" s="17">
        <v>16.0</v>
      </c>
      <c r="AA9" s="45"/>
      <c r="AE9" s="15">
        <v>16.0</v>
      </c>
      <c r="AF9" s="46">
        <f t="shared" si="1"/>
        <v>0</v>
      </c>
      <c r="AG9" s="27"/>
      <c r="AH9" s="27"/>
    </row>
    <row r="10">
      <c r="B10" s="15">
        <v>17.0</v>
      </c>
      <c r="C10" s="16"/>
      <c r="E10" s="15">
        <v>17.0</v>
      </c>
      <c r="F10" s="16"/>
      <c r="H10" s="15">
        <v>17.0</v>
      </c>
      <c r="I10" s="16"/>
      <c r="K10" s="15">
        <v>17.0</v>
      </c>
      <c r="L10" s="16"/>
      <c r="N10" s="15">
        <v>17.0</v>
      </c>
      <c r="O10" s="16"/>
      <c r="Q10" s="15">
        <v>17.0</v>
      </c>
      <c r="R10" s="16"/>
      <c r="T10" s="15">
        <v>17.0</v>
      </c>
      <c r="U10" s="16"/>
      <c r="W10" s="15">
        <v>17.0</v>
      </c>
      <c r="X10" s="44">
        <v>0.0</v>
      </c>
      <c r="Z10" s="17">
        <v>17.0</v>
      </c>
      <c r="AA10" s="45"/>
      <c r="AE10" s="15">
        <v>17.0</v>
      </c>
      <c r="AF10" s="46">
        <f t="shared" si="1"/>
        <v>0</v>
      </c>
      <c r="AG10" s="27"/>
      <c r="AH10" s="27"/>
    </row>
    <row r="11">
      <c r="B11" s="15">
        <v>18.0</v>
      </c>
      <c r="C11" s="16"/>
      <c r="E11" s="15">
        <v>18.0</v>
      </c>
      <c r="F11" s="16"/>
      <c r="H11" s="15">
        <v>18.0</v>
      </c>
      <c r="I11" s="16"/>
      <c r="K11" s="15">
        <v>18.0</v>
      </c>
      <c r="L11" s="16"/>
      <c r="N11" s="15">
        <v>18.0</v>
      </c>
      <c r="O11" s="16"/>
      <c r="Q11" s="15">
        <v>18.0</v>
      </c>
      <c r="R11" s="16"/>
      <c r="T11" s="15">
        <v>18.0</v>
      </c>
      <c r="U11" s="16"/>
      <c r="W11" s="15">
        <v>18.0</v>
      </c>
      <c r="X11" s="44">
        <v>0.0</v>
      </c>
      <c r="Z11" s="17">
        <v>18.0</v>
      </c>
      <c r="AA11" s="45"/>
      <c r="AE11" s="15">
        <v>18.0</v>
      </c>
      <c r="AF11" s="46">
        <f t="shared" si="1"/>
        <v>0</v>
      </c>
      <c r="AG11" s="27"/>
      <c r="AH11" s="27"/>
    </row>
    <row r="12">
      <c r="B12" s="15">
        <v>19.0</v>
      </c>
      <c r="C12" s="16"/>
      <c r="E12" s="15">
        <v>19.0</v>
      </c>
      <c r="F12" s="16"/>
      <c r="H12" s="15">
        <v>19.0</v>
      </c>
      <c r="I12" s="16"/>
      <c r="K12" s="15">
        <v>19.0</v>
      </c>
      <c r="L12" s="16"/>
      <c r="N12" s="15">
        <v>19.0</v>
      </c>
      <c r="O12" s="16"/>
      <c r="Q12" s="15">
        <v>19.0</v>
      </c>
      <c r="R12" s="16"/>
      <c r="T12" s="15">
        <v>19.0</v>
      </c>
      <c r="U12" s="16"/>
      <c r="W12" s="15">
        <v>19.0</v>
      </c>
      <c r="X12" s="44">
        <v>0.0</v>
      </c>
      <c r="Z12" s="17">
        <v>19.0</v>
      </c>
      <c r="AA12" s="45"/>
      <c r="AE12" s="15">
        <v>19.0</v>
      </c>
      <c r="AF12" s="46">
        <f t="shared" si="1"/>
        <v>0</v>
      </c>
      <c r="AG12" s="27"/>
      <c r="AH12" s="27"/>
    </row>
    <row r="13">
      <c r="B13" s="15">
        <v>20.0</v>
      </c>
      <c r="C13" s="16"/>
      <c r="E13" s="15">
        <v>20.0</v>
      </c>
      <c r="F13" s="16"/>
      <c r="H13" s="15">
        <v>20.0</v>
      </c>
      <c r="I13" s="16"/>
      <c r="K13" s="15">
        <v>20.0</v>
      </c>
      <c r="L13" s="16"/>
      <c r="N13" s="15">
        <v>20.0</v>
      </c>
      <c r="O13" s="16"/>
      <c r="Q13" s="15">
        <v>20.0</v>
      </c>
      <c r="R13" s="16"/>
      <c r="T13" s="15">
        <v>20.0</v>
      </c>
      <c r="U13" s="16"/>
      <c r="W13" s="15">
        <v>20.0</v>
      </c>
      <c r="X13" s="44">
        <v>0.0</v>
      </c>
      <c r="Z13" s="17">
        <v>20.0</v>
      </c>
      <c r="AA13" s="45"/>
      <c r="AE13" s="15">
        <v>20.0</v>
      </c>
      <c r="AF13" s="46">
        <f t="shared" si="1"/>
        <v>0</v>
      </c>
      <c r="AG13" s="27"/>
      <c r="AH13" s="27"/>
    </row>
    <row r="14">
      <c r="B14" s="15">
        <v>21.0</v>
      </c>
      <c r="C14" s="16"/>
      <c r="E14" s="15">
        <v>21.0</v>
      </c>
      <c r="F14" s="16"/>
      <c r="H14" s="15">
        <v>21.0</v>
      </c>
      <c r="I14" s="16"/>
      <c r="K14" s="15">
        <v>21.0</v>
      </c>
      <c r="L14" s="16"/>
      <c r="N14" s="15">
        <v>21.0</v>
      </c>
      <c r="O14" s="16"/>
      <c r="Q14" s="15">
        <v>21.0</v>
      </c>
      <c r="R14" s="16"/>
      <c r="T14" s="15">
        <v>21.0</v>
      </c>
      <c r="U14" s="16"/>
      <c r="W14" s="15">
        <v>21.0</v>
      </c>
      <c r="X14" s="44">
        <v>0.0</v>
      </c>
      <c r="Z14" s="17">
        <v>21.0</v>
      </c>
      <c r="AA14" s="45"/>
      <c r="AE14" s="15">
        <v>21.0</v>
      </c>
      <c r="AF14" s="46">
        <f t="shared" si="1"/>
        <v>0</v>
      </c>
      <c r="AG14" s="27"/>
      <c r="AH14" s="27"/>
    </row>
    <row r="15">
      <c r="B15" s="15">
        <v>22.0</v>
      </c>
      <c r="C15" s="16"/>
      <c r="E15" s="15">
        <v>22.0</v>
      </c>
      <c r="F15" s="16"/>
      <c r="H15" s="15">
        <v>22.0</v>
      </c>
      <c r="I15" s="16"/>
      <c r="K15" s="15">
        <v>22.0</v>
      </c>
      <c r="L15" s="16"/>
      <c r="N15" s="15">
        <v>22.0</v>
      </c>
      <c r="O15" s="16"/>
      <c r="Q15" s="15">
        <v>22.0</v>
      </c>
      <c r="R15" s="16"/>
      <c r="T15" s="15">
        <v>22.0</v>
      </c>
      <c r="U15" s="16"/>
      <c r="W15" s="15">
        <v>22.0</v>
      </c>
      <c r="X15" s="44">
        <v>1090.0</v>
      </c>
      <c r="Y15" s="32">
        <v>0.0109</v>
      </c>
      <c r="Z15" s="17">
        <v>22.0</v>
      </c>
      <c r="AA15" s="45"/>
      <c r="AE15" s="15">
        <v>22.0</v>
      </c>
      <c r="AF15" s="46">
        <f t="shared" ref="AF15:AF40" si="2">SUM(X15,U15,R15,O15,L15,I15,F15,C15,AA15)</f>
        <v>1090</v>
      </c>
      <c r="AG15" s="27"/>
      <c r="AH15" s="27"/>
    </row>
    <row r="16">
      <c r="B16" s="15">
        <v>23.0</v>
      </c>
      <c r="C16" s="19">
        <v>500.0</v>
      </c>
      <c r="E16" s="15">
        <v>23.0</v>
      </c>
      <c r="F16" s="19">
        <v>500.0</v>
      </c>
      <c r="H16" s="15">
        <v>23.0</v>
      </c>
      <c r="I16" s="47">
        <v>100.0</v>
      </c>
      <c r="K16" s="15">
        <v>23.0</v>
      </c>
      <c r="L16" s="48">
        <v>200.0</v>
      </c>
      <c r="N16" s="15">
        <v>23.0</v>
      </c>
      <c r="O16" s="19">
        <v>200.0</v>
      </c>
      <c r="Q16" s="15">
        <v>23.0</v>
      </c>
      <c r="R16" s="16"/>
      <c r="T16" s="15">
        <v>23.0</v>
      </c>
      <c r="U16" s="19">
        <v>300.0</v>
      </c>
      <c r="W16" s="15">
        <v>23.0</v>
      </c>
      <c r="X16" s="44">
        <v>2939.0</v>
      </c>
      <c r="Y16" s="32">
        <v>0.02939</v>
      </c>
      <c r="Z16" s="17">
        <v>23.0</v>
      </c>
      <c r="AA16" s="49">
        <v>1505.934375</v>
      </c>
      <c r="AE16" s="15">
        <v>23.0</v>
      </c>
      <c r="AF16" s="46">
        <f t="shared" si="2"/>
        <v>6244.934375</v>
      </c>
      <c r="AG16" s="27"/>
      <c r="AH16" s="27"/>
    </row>
    <row r="17">
      <c r="B17" s="15">
        <v>24.0</v>
      </c>
      <c r="C17" s="19">
        <v>1000.0</v>
      </c>
      <c r="E17" s="15">
        <v>24.0</v>
      </c>
      <c r="F17" s="19">
        <v>2500.0</v>
      </c>
      <c r="H17" s="15">
        <v>24.0</v>
      </c>
      <c r="I17" s="47">
        <v>500.0</v>
      </c>
      <c r="K17" s="15">
        <v>24.0</v>
      </c>
      <c r="L17" s="48">
        <v>500.0</v>
      </c>
      <c r="N17" s="15">
        <v>24.0</v>
      </c>
      <c r="O17" s="19">
        <v>500.0</v>
      </c>
      <c r="Q17" s="15">
        <v>24.0</v>
      </c>
      <c r="R17" s="16"/>
      <c r="T17" s="15">
        <v>24.0</v>
      </c>
      <c r="U17" s="19">
        <v>1000.0</v>
      </c>
      <c r="W17" s="15">
        <v>24.0</v>
      </c>
      <c r="X17" s="44">
        <v>7518.0</v>
      </c>
      <c r="Y17" s="32">
        <v>0.07518</v>
      </c>
      <c r="Z17" s="17">
        <v>24.0</v>
      </c>
      <c r="AA17" s="49">
        <v>2258.98125</v>
      </c>
      <c r="AE17" s="15">
        <v>24.0</v>
      </c>
      <c r="AF17" s="46">
        <f t="shared" si="2"/>
        <v>15776.98125</v>
      </c>
      <c r="AG17" s="27"/>
      <c r="AH17" s="27"/>
    </row>
    <row r="18">
      <c r="B18" s="15">
        <v>25.0</v>
      </c>
      <c r="C18" s="19">
        <v>2500.0</v>
      </c>
      <c r="E18" s="15">
        <v>25.0</v>
      </c>
      <c r="F18" s="19">
        <v>4100.0</v>
      </c>
      <c r="H18" s="15">
        <v>25.0</v>
      </c>
      <c r="I18" s="47">
        <v>1500.0</v>
      </c>
      <c r="K18" s="15">
        <v>25.0</v>
      </c>
      <c r="L18" s="48">
        <v>1200.0</v>
      </c>
      <c r="N18" s="15">
        <v>25.0</v>
      </c>
      <c r="O18" s="19">
        <v>3500.0</v>
      </c>
      <c r="Q18" s="15">
        <v>25.0</v>
      </c>
      <c r="R18" s="50">
        <v>150.7537688442211</v>
      </c>
      <c r="S18" s="32"/>
      <c r="T18" s="15">
        <v>25.0</v>
      </c>
      <c r="U18" s="19">
        <v>1800.0</v>
      </c>
      <c r="W18" s="15">
        <v>25.0</v>
      </c>
      <c r="X18" s="44">
        <v>10015.0</v>
      </c>
      <c r="Y18" s="32">
        <v>0.10015</v>
      </c>
      <c r="Z18" s="17">
        <v>25.0</v>
      </c>
      <c r="AA18" s="49">
        <v>3733.040625</v>
      </c>
      <c r="AE18" s="15">
        <v>25.0</v>
      </c>
      <c r="AF18" s="46">
        <f t="shared" si="2"/>
        <v>28498.79439</v>
      </c>
      <c r="AG18" s="27"/>
      <c r="AH18" s="27"/>
    </row>
    <row r="19">
      <c r="B19" s="15">
        <v>26.0</v>
      </c>
      <c r="C19" s="19">
        <v>6500.0</v>
      </c>
      <c r="E19" s="15">
        <v>26.0</v>
      </c>
      <c r="F19" s="19">
        <v>10300.0</v>
      </c>
      <c r="H19" s="15">
        <v>26.0</v>
      </c>
      <c r="I19" s="47">
        <v>4000.0</v>
      </c>
      <c r="K19" s="15">
        <v>26.0</v>
      </c>
      <c r="L19" s="48">
        <v>1500.0</v>
      </c>
      <c r="N19" s="15">
        <v>26.0</v>
      </c>
      <c r="O19" s="19">
        <v>6800.0</v>
      </c>
      <c r="Q19" s="15">
        <v>26.0</v>
      </c>
      <c r="R19" s="50">
        <v>301.5075376884422</v>
      </c>
      <c r="S19" s="32"/>
      <c r="T19" s="15">
        <v>26.0</v>
      </c>
      <c r="U19" s="19">
        <v>2300.0</v>
      </c>
      <c r="W19" s="15">
        <v>26.0</v>
      </c>
      <c r="X19" s="44">
        <v>10723.0</v>
      </c>
      <c r="Y19" s="32">
        <v>0.10723</v>
      </c>
      <c r="Z19" s="17">
        <v>26.0</v>
      </c>
      <c r="AA19" s="49">
        <v>4084.78125</v>
      </c>
      <c r="AE19" s="15">
        <v>26.0</v>
      </c>
      <c r="AF19" s="46">
        <f t="shared" si="2"/>
        <v>46509.28879</v>
      </c>
      <c r="AG19" s="27"/>
      <c r="AH19" s="27"/>
    </row>
    <row r="20">
      <c r="B20" s="15">
        <v>27.0</v>
      </c>
      <c r="C20" s="19">
        <v>10000.0</v>
      </c>
      <c r="E20" s="15">
        <v>27.0</v>
      </c>
      <c r="F20" s="19">
        <v>14500.0</v>
      </c>
      <c r="H20" s="15">
        <v>27.0</v>
      </c>
      <c r="I20" s="47">
        <v>5500.0</v>
      </c>
      <c r="K20" s="15">
        <v>27.0</v>
      </c>
      <c r="L20" s="48">
        <v>2400.0</v>
      </c>
      <c r="N20" s="15">
        <v>27.0</v>
      </c>
      <c r="O20" s="19">
        <v>7000.0</v>
      </c>
      <c r="Q20" s="15">
        <v>27.0</v>
      </c>
      <c r="R20" s="51">
        <v>753.768844221106</v>
      </c>
      <c r="S20" s="32"/>
      <c r="T20" s="15">
        <v>27.0</v>
      </c>
      <c r="U20" s="19">
        <v>2400.0</v>
      </c>
      <c r="W20" s="15">
        <v>27.0</v>
      </c>
      <c r="X20" s="44">
        <v>12083.0</v>
      </c>
      <c r="Y20" s="32">
        <v>0.12083</v>
      </c>
      <c r="Z20" s="17">
        <v>27.0</v>
      </c>
      <c r="AA20" s="49">
        <v>3368.5499999999997</v>
      </c>
      <c r="AE20" s="15">
        <v>27.0</v>
      </c>
      <c r="AF20" s="46">
        <f t="shared" si="2"/>
        <v>58005.31884</v>
      </c>
      <c r="AG20" s="27"/>
      <c r="AH20" s="27"/>
    </row>
    <row r="21">
      <c r="B21" s="15">
        <v>28.0</v>
      </c>
      <c r="C21" s="19">
        <v>15000.0</v>
      </c>
      <c r="E21" s="15">
        <v>28.0</v>
      </c>
      <c r="F21" s="19">
        <v>20800.0</v>
      </c>
      <c r="H21" s="15">
        <v>28.0</v>
      </c>
      <c r="I21" s="47">
        <v>6000.0</v>
      </c>
      <c r="K21" s="15">
        <v>28.0</v>
      </c>
      <c r="L21" s="48">
        <v>3000.0</v>
      </c>
      <c r="N21" s="15">
        <v>28.0</v>
      </c>
      <c r="O21" s="19">
        <v>6300.0</v>
      </c>
      <c r="Q21" s="15">
        <v>28.0</v>
      </c>
      <c r="R21" s="50">
        <v>753.7688442211056</v>
      </c>
      <c r="S21" s="32"/>
      <c r="T21" s="15">
        <v>28.0</v>
      </c>
      <c r="U21" s="19">
        <v>2600.0</v>
      </c>
      <c r="W21" s="15">
        <v>28.0</v>
      </c>
      <c r="X21" s="44">
        <v>9333.0</v>
      </c>
      <c r="Y21" s="32">
        <v>0.09333</v>
      </c>
      <c r="Z21" s="17">
        <v>28.0</v>
      </c>
      <c r="AA21" s="49">
        <v>1695.1125</v>
      </c>
      <c r="AE21" s="15">
        <v>28.0</v>
      </c>
      <c r="AF21" s="46">
        <f t="shared" si="2"/>
        <v>65481.88134</v>
      </c>
      <c r="AG21" s="27"/>
      <c r="AH21" s="27"/>
    </row>
    <row r="22">
      <c r="B22" s="15">
        <v>29.0</v>
      </c>
      <c r="C22" s="19">
        <v>13000.0</v>
      </c>
      <c r="E22" s="15">
        <v>29.0</v>
      </c>
      <c r="F22" s="19">
        <v>18700.0</v>
      </c>
      <c r="H22" s="15">
        <v>29.0</v>
      </c>
      <c r="I22" s="47">
        <v>7500.0</v>
      </c>
      <c r="K22" s="15">
        <v>29.0</v>
      </c>
      <c r="L22" s="48">
        <v>3500.0</v>
      </c>
      <c r="N22" s="15">
        <v>29.0</v>
      </c>
      <c r="O22" s="19">
        <v>3500.0</v>
      </c>
      <c r="Q22" s="15">
        <v>29.0</v>
      </c>
      <c r="R22" s="50">
        <v>1507.5376884422112</v>
      </c>
      <c r="S22" s="32"/>
      <c r="T22" s="15">
        <v>29.0</v>
      </c>
      <c r="U22" s="19">
        <v>2200.0</v>
      </c>
      <c r="W22" s="15">
        <v>29.0</v>
      </c>
      <c r="X22" s="44">
        <v>6367.0</v>
      </c>
      <c r="Y22" s="32">
        <v>0.06367</v>
      </c>
      <c r="Z22" s="17">
        <v>29.0</v>
      </c>
      <c r="AA22" s="49">
        <v>390.309375</v>
      </c>
      <c r="AE22" s="15">
        <v>29.0</v>
      </c>
      <c r="AF22" s="46">
        <f t="shared" si="2"/>
        <v>56664.84706</v>
      </c>
      <c r="AG22" s="27"/>
      <c r="AH22" s="27"/>
    </row>
    <row r="23">
      <c r="B23" s="15">
        <v>30.0</v>
      </c>
      <c r="C23" s="19">
        <v>6000.0</v>
      </c>
      <c r="E23" s="15">
        <v>30.0</v>
      </c>
      <c r="F23" s="19">
        <v>18500.0</v>
      </c>
      <c r="H23" s="15">
        <v>30.0</v>
      </c>
      <c r="I23" s="47">
        <v>4000.0</v>
      </c>
      <c r="K23" s="15">
        <v>30.0</v>
      </c>
      <c r="L23" s="48">
        <v>3300.0</v>
      </c>
      <c r="N23" s="15">
        <v>30.0</v>
      </c>
      <c r="O23" s="19">
        <v>200.0</v>
      </c>
      <c r="Q23" s="15">
        <v>30.0</v>
      </c>
      <c r="R23" s="50">
        <v>2261.3065326633164</v>
      </c>
      <c r="S23" s="32"/>
      <c r="T23" s="15">
        <v>30.0</v>
      </c>
      <c r="U23" s="19">
        <v>1900.0</v>
      </c>
      <c r="W23" s="15">
        <v>30.0</v>
      </c>
      <c r="X23" s="44">
        <v>2178.0</v>
      </c>
      <c r="Y23" s="32">
        <v>0.02178</v>
      </c>
      <c r="Z23" s="17">
        <v>30.0</v>
      </c>
      <c r="AA23" s="49">
        <v>528.0625</v>
      </c>
      <c r="AE23" s="15">
        <v>30.0</v>
      </c>
      <c r="AF23" s="46">
        <f t="shared" si="2"/>
        <v>38867.36903</v>
      </c>
      <c r="AG23" s="27"/>
      <c r="AH23" s="27"/>
    </row>
    <row r="24">
      <c r="B24" s="15">
        <v>31.0</v>
      </c>
      <c r="C24" s="19">
        <v>5500.0</v>
      </c>
      <c r="E24" s="15">
        <v>31.0</v>
      </c>
      <c r="F24" s="19">
        <v>13500.0</v>
      </c>
      <c r="H24" s="15">
        <v>31.0</v>
      </c>
      <c r="I24" s="47">
        <v>2000.0</v>
      </c>
      <c r="K24" s="15">
        <v>31.0</v>
      </c>
      <c r="L24" s="48">
        <v>3300.0</v>
      </c>
      <c r="N24" s="15">
        <v>31.0</v>
      </c>
      <c r="O24" s="19">
        <v>500.0</v>
      </c>
      <c r="Q24" s="15">
        <v>31.0</v>
      </c>
      <c r="R24" s="50">
        <v>3768.844221105527</v>
      </c>
      <c r="S24" s="32"/>
      <c r="T24" s="15">
        <v>31.0</v>
      </c>
      <c r="U24" s="19">
        <v>1800.0</v>
      </c>
      <c r="W24" s="15">
        <v>31.0</v>
      </c>
      <c r="X24" s="44">
        <v>558.0</v>
      </c>
      <c r="Y24" s="32">
        <v>0.00558</v>
      </c>
      <c r="Z24" s="17">
        <v>31.0</v>
      </c>
      <c r="AA24" s="49">
        <v>1054.53125</v>
      </c>
      <c r="AE24" s="15">
        <v>31.0</v>
      </c>
      <c r="AF24" s="46">
        <f t="shared" si="2"/>
        <v>31981.37547</v>
      </c>
      <c r="AG24" s="27"/>
      <c r="AH24" s="27"/>
    </row>
    <row r="25">
      <c r="B25" s="15">
        <v>32.0</v>
      </c>
      <c r="C25" s="19">
        <v>1500.0</v>
      </c>
      <c r="E25" s="15">
        <v>32.0</v>
      </c>
      <c r="F25" s="19">
        <v>16500.0</v>
      </c>
      <c r="H25" s="15">
        <v>32.0</v>
      </c>
      <c r="I25" s="47">
        <v>1500.0</v>
      </c>
      <c r="K25" s="15">
        <v>32.0</v>
      </c>
      <c r="L25" s="48">
        <v>3200.0</v>
      </c>
      <c r="N25" s="15">
        <v>32.0</v>
      </c>
      <c r="O25" s="19">
        <v>1500.0</v>
      </c>
      <c r="Q25" s="15">
        <v>32.0</v>
      </c>
      <c r="R25" s="50">
        <v>3768.844221105527</v>
      </c>
      <c r="S25" s="32"/>
      <c r="T25" s="15">
        <v>32.0</v>
      </c>
      <c r="U25" s="19">
        <v>1700.0</v>
      </c>
      <c r="W25" s="15">
        <v>32.0</v>
      </c>
      <c r="X25" s="44">
        <v>48.0</v>
      </c>
      <c r="Y25" s="32">
        <v>4.8E-4</v>
      </c>
      <c r="Z25" s="17">
        <v>32.0</v>
      </c>
      <c r="AA25" s="49">
        <v>1576.3515625</v>
      </c>
      <c r="AE25" s="15">
        <v>32.0</v>
      </c>
      <c r="AF25" s="46">
        <f t="shared" si="2"/>
        <v>31293.19578</v>
      </c>
      <c r="AG25" s="27"/>
      <c r="AH25" s="27"/>
    </row>
    <row r="26">
      <c r="B26" s="15">
        <v>33.0</v>
      </c>
      <c r="C26" s="19">
        <v>500.0</v>
      </c>
      <c r="E26" s="15">
        <v>33.0</v>
      </c>
      <c r="F26" s="19">
        <v>12600.0</v>
      </c>
      <c r="H26" s="15">
        <v>33.0</v>
      </c>
      <c r="I26" s="47">
        <v>1500.0</v>
      </c>
      <c r="K26" s="15">
        <v>33.0</v>
      </c>
      <c r="L26" s="48">
        <v>3000.0</v>
      </c>
      <c r="N26" s="15">
        <v>33.0</v>
      </c>
      <c r="O26" s="19">
        <v>3000.0</v>
      </c>
      <c r="Q26" s="15">
        <v>33.0</v>
      </c>
      <c r="R26" s="50">
        <v>1507.5376884422112</v>
      </c>
      <c r="S26" s="32"/>
      <c r="T26" s="15">
        <v>33.0</v>
      </c>
      <c r="U26" s="19">
        <v>1500.0</v>
      </c>
      <c r="W26" s="15">
        <v>33.0</v>
      </c>
      <c r="X26" s="44">
        <v>400.0</v>
      </c>
      <c r="Y26" s="32">
        <v>0.004</v>
      </c>
      <c r="Z26" s="17">
        <v>33.0</v>
      </c>
      <c r="AA26" s="49">
        <v>2069.0859375</v>
      </c>
      <c r="AE26" s="15">
        <v>33.0</v>
      </c>
      <c r="AF26" s="46">
        <f t="shared" si="2"/>
        <v>26076.62363</v>
      </c>
      <c r="AG26" s="27"/>
      <c r="AH26" s="27"/>
    </row>
    <row r="27">
      <c r="B27" s="15">
        <v>34.0</v>
      </c>
      <c r="C27" s="19">
        <v>500.0</v>
      </c>
      <c r="E27" s="15">
        <v>34.0</v>
      </c>
      <c r="F27" s="19">
        <v>11500.0</v>
      </c>
      <c r="H27" s="15">
        <v>34.0</v>
      </c>
      <c r="I27" s="47">
        <v>3000.0</v>
      </c>
      <c r="K27" s="15">
        <v>34.0</v>
      </c>
      <c r="L27" s="48">
        <v>2800.0</v>
      </c>
      <c r="N27" s="15">
        <v>34.0</v>
      </c>
      <c r="O27" s="19">
        <v>3000.0</v>
      </c>
      <c r="Q27" s="15">
        <v>34.0</v>
      </c>
      <c r="R27" s="50">
        <v>753.7688442211056</v>
      </c>
      <c r="S27" s="32"/>
      <c r="T27" s="15">
        <v>34.0</v>
      </c>
      <c r="U27" s="19">
        <v>1300.0</v>
      </c>
      <c r="W27" s="15">
        <v>34.0</v>
      </c>
      <c r="X27" s="44">
        <v>1208.0</v>
      </c>
      <c r="Y27" s="32">
        <v>0.01208</v>
      </c>
      <c r="Z27" s="17">
        <v>34.0</v>
      </c>
      <c r="AA27" s="49">
        <v>2206.1835</v>
      </c>
      <c r="AE27" s="15">
        <v>34.0</v>
      </c>
      <c r="AF27" s="46">
        <f t="shared" si="2"/>
        <v>26267.95234</v>
      </c>
      <c r="AG27" s="27"/>
      <c r="AH27" s="27"/>
    </row>
    <row r="28">
      <c r="B28" s="15">
        <v>35.0</v>
      </c>
      <c r="C28" s="19">
        <v>1000.0</v>
      </c>
      <c r="E28" s="15">
        <v>35.0</v>
      </c>
      <c r="F28" s="19">
        <v>11000.0</v>
      </c>
      <c r="H28" s="15">
        <v>35.0</v>
      </c>
      <c r="I28" s="47">
        <v>3500.0</v>
      </c>
      <c r="K28" s="15">
        <v>35.0</v>
      </c>
      <c r="L28" s="48">
        <v>2500.0</v>
      </c>
      <c r="N28" s="15">
        <v>35.0</v>
      </c>
      <c r="O28" s="19">
        <v>3000.0</v>
      </c>
      <c r="Q28" s="15">
        <v>35.0</v>
      </c>
      <c r="R28" s="50">
        <v>452.2613065326633</v>
      </c>
      <c r="S28" s="32"/>
      <c r="T28" s="15">
        <v>35.0</v>
      </c>
      <c r="U28" s="19">
        <v>1100.0</v>
      </c>
      <c r="W28" s="15">
        <v>35.0</v>
      </c>
      <c r="X28" s="44">
        <v>1982.0</v>
      </c>
      <c r="Y28" s="32">
        <v>0.01982</v>
      </c>
      <c r="Z28" s="17">
        <v>35.0</v>
      </c>
      <c r="AA28" s="49">
        <v>2005.8300000000002</v>
      </c>
      <c r="AE28" s="15">
        <v>35.0</v>
      </c>
      <c r="AF28" s="46">
        <f t="shared" si="2"/>
        <v>26540.09131</v>
      </c>
      <c r="AG28" s="27"/>
      <c r="AH28" s="27"/>
    </row>
    <row r="29">
      <c r="B29" s="15">
        <v>36.0</v>
      </c>
      <c r="C29" s="19">
        <v>1000.0</v>
      </c>
      <c r="E29" s="15">
        <v>36.0</v>
      </c>
      <c r="F29" s="19">
        <v>7600.0</v>
      </c>
      <c r="H29" s="15">
        <v>36.0</v>
      </c>
      <c r="I29" s="47">
        <v>3500.0</v>
      </c>
      <c r="K29" s="15">
        <v>36.0</v>
      </c>
      <c r="L29" s="48">
        <v>2400.0</v>
      </c>
      <c r="N29" s="15">
        <v>36.0</v>
      </c>
      <c r="O29" s="19">
        <v>2800.0</v>
      </c>
      <c r="Q29" s="15">
        <v>36.0</v>
      </c>
      <c r="R29" s="50">
        <v>452.2613065326633</v>
      </c>
      <c r="S29" s="32"/>
      <c r="T29" s="15">
        <v>36.0</v>
      </c>
      <c r="U29" s="19">
        <v>1100.0</v>
      </c>
      <c r="W29" s="15">
        <v>36.0</v>
      </c>
      <c r="X29" s="44">
        <v>4137.0</v>
      </c>
      <c r="Y29" s="32">
        <v>0.04137</v>
      </c>
      <c r="Z29" s="17">
        <v>36.0</v>
      </c>
      <c r="AA29" s="49">
        <v>1523.9086875000003</v>
      </c>
      <c r="AE29" s="15">
        <v>36.0</v>
      </c>
      <c r="AF29" s="46">
        <f t="shared" si="2"/>
        <v>24513.16999</v>
      </c>
      <c r="AG29" s="27"/>
      <c r="AH29" s="27"/>
    </row>
    <row r="30">
      <c r="B30" s="15">
        <v>37.0</v>
      </c>
      <c r="C30" s="19">
        <v>1000.0</v>
      </c>
      <c r="E30" s="15">
        <v>37.0</v>
      </c>
      <c r="F30" s="19">
        <v>4300.0</v>
      </c>
      <c r="H30" s="15">
        <v>37.0</v>
      </c>
      <c r="I30" s="47">
        <v>3000.0</v>
      </c>
      <c r="K30" s="15">
        <v>37.0</v>
      </c>
      <c r="L30" s="48">
        <v>2000.0</v>
      </c>
      <c r="N30" s="15">
        <v>37.0</v>
      </c>
      <c r="O30" s="19">
        <v>2800.0</v>
      </c>
      <c r="Q30" s="15">
        <v>37.0</v>
      </c>
      <c r="R30" s="50">
        <v>1206.0301507537688</v>
      </c>
      <c r="S30" s="32"/>
      <c r="T30" s="15">
        <v>37.0</v>
      </c>
      <c r="U30" s="19">
        <v>1100.0</v>
      </c>
      <c r="W30" s="15">
        <v>37.0</v>
      </c>
      <c r="X30" s="44">
        <v>4753.0</v>
      </c>
      <c r="Y30" s="32">
        <v>0.04753</v>
      </c>
      <c r="Z30" s="17">
        <v>37.0</v>
      </c>
      <c r="AA30" s="49">
        <v>1667.030625</v>
      </c>
      <c r="AE30" s="15">
        <v>37.0</v>
      </c>
      <c r="AF30" s="46">
        <f t="shared" si="2"/>
        <v>21826.06078</v>
      </c>
      <c r="AG30" s="27"/>
      <c r="AH30" s="27"/>
    </row>
    <row r="31">
      <c r="B31" s="15">
        <v>38.0</v>
      </c>
      <c r="C31" s="19">
        <v>1000.0</v>
      </c>
      <c r="E31" s="15">
        <v>38.0</v>
      </c>
      <c r="F31" s="19">
        <v>4600.0</v>
      </c>
      <c r="H31" s="15">
        <v>38.0</v>
      </c>
      <c r="I31" s="47">
        <v>2000.0</v>
      </c>
      <c r="K31" s="15">
        <v>38.0</v>
      </c>
      <c r="L31" s="48">
        <v>1700.0</v>
      </c>
      <c r="N31" s="15">
        <v>38.0</v>
      </c>
      <c r="O31" s="19">
        <v>2800.0</v>
      </c>
      <c r="Q31" s="15">
        <v>38.0</v>
      </c>
      <c r="R31" s="50">
        <v>1809.0452261306532</v>
      </c>
      <c r="S31" s="32"/>
      <c r="T31" s="15">
        <v>38.0</v>
      </c>
      <c r="U31" s="19">
        <v>1100.0</v>
      </c>
      <c r="W31" s="15">
        <v>38.0</v>
      </c>
      <c r="X31" s="44">
        <v>4996.0</v>
      </c>
      <c r="Y31" s="32">
        <v>0.04996</v>
      </c>
      <c r="Z31" s="17">
        <v>38.0</v>
      </c>
      <c r="AA31" s="49">
        <v>980.53875</v>
      </c>
      <c r="AE31" s="15">
        <v>38.0</v>
      </c>
      <c r="AF31" s="46">
        <f t="shared" si="2"/>
        <v>20985.58398</v>
      </c>
      <c r="AG31" s="27"/>
      <c r="AH31" s="27"/>
    </row>
    <row r="32">
      <c r="B32" s="15">
        <v>39.0</v>
      </c>
      <c r="C32" s="19">
        <v>1000.0</v>
      </c>
      <c r="E32" s="15">
        <v>39.0</v>
      </c>
      <c r="F32" s="19">
        <v>3800.0</v>
      </c>
      <c r="H32" s="15">
        <v>39.0</v>
      </c>
      <c r="I32" s="47">
        <v>1500.0</v>
      </c>
      <c r="K32" s="15">
        <v>39.0</v>
      </c>
      <c r="L32" s="48">
        <v>1300.0</v>
      </c>
      <c r="N32" s="15">
        <v>39.0</v>
      </c>
      <c r="O32" s="19">
        <v>2800.0</v>
      </c>
      <c r="Q32" s="15">
        <v>39.0</v>
      </c>
      <c r="R32" s="50">
        <v>2261.3065326633164</v>
      </c>
      <c r="S32" s="32"/>
      <c r="T32" s="15">
        <v>39.0</v>
      </c>
      <c r="U32" s="19">
        <v>1100.0</v>
      </c>
      <c r="W32" s="15">
        <v>39.0</v>
      </c>
      <c r="X32" s="44">
        <v>5085.0</v>
      </c>
      <c r="Y32" s="32">
        <v>0.05085</v>
      </c>
      <c r="Z32" s="17">
        <v>39.0</v>
      </c>
      <c r="AA32" s="49">
        <v>386.56406250000003</v>
      </c>
      <c r="AE32" s="15">
        <v>39.0</v>
      </c>
      <c r="AF32" s="46">
        <f t="shared" si="2"/>
        <v>19232.8706</v>
      </c>
      <c r="AG32" s="27"/>
      <c r="AH32" s="27"/>
    </row>
    <row r="33">
      <c r="B33" s="15">
        <v>40.0</v>
      </c>
      <c r="C33" s="19">
        <v>1000.0</v>
      </c>
      <c r="E33" s="15">
        <v>40.0</v>
      </c>
      <c r="F33" s="19">
        <v>2400.0</v>
      </c>
      <c r="H33" s="15">
        <v>40.0</v>
      </c>
      <c r="I33" s="47">
        <v>1500.0</v>
      </c>
      <c r="K33" s="15">
        <v>40.0</v>
      </c>
      <c r="L33" s="48">
        <v>1200.0</v>
      </c>
      <c r="N33" s="15">
        <v>40.0</v>
      </c>
      <c r="O33" s="19">
        <v>2000.0</v>
      </c>
      <c r="Q33" s="15">
        <v>40.0</v>
      </c>
      <c r="R33" s="50">
        <v>2261.3065326633164</v>
      </c>
      <c r="S33" s="32"/>
      <c r="T33" s="15">
        <v>40.0</v>
      </c>
      <c r="U33" s="19">
        <v>1000.0</v>
      </c>
      <c r="W33" s="15">
        <v>40.0</v>
      </c>
      <c r="X33" s="44">
        <v>3627.0</v>
      </c>
      <c r="Y33" s="32">
        <v>0.03627</v>
      </c>
      <c r="Z33" s="17">
        <v>40.0</v>
      </c>
      <c r="AA33" s="49">
        <v>956.5846875000001</v>
      </c>
      <c r="AE33" s="15">
        <v>40.0</v>
      </c>
      <c r="AF33" s="46">
        <f t="shared" si="2"/>
        <v>15944.89122</v>
      </c>
      <c r="AG33" s="27"/>
      <c r="AH33" s="27"/>
    </row>
    <row r="34">
      <c r="B34" s="15">
        <v>41.0</v>
      </c>
      <c r="C34" s="19">
        <v>500.0</v>
      </c>
      <c r="E34" s="15">
        <v>41.0</v>
      </c>
      <c r="F34" s="19">
        <v>2200.0</v>
      </c>
      <c r="H34" s="15">
        <v>41.0</v>
      </c>
      <c r="I34" s="47">
        <v>1000.0</v>
      </c>
      <c r="K34" s="15">
        <v>41.0</v>
      </c>
      <c r="L34" s="48">
        <v>700.0</v>
      </c>
      <c r="N34" s="15">
        <v>41.0</v>
      </c>
      <c r="O34" s="19">
        <v>2000.0</v>
      </c>
      <c r="Q34" s="15">
        <v>41.0</v>
      </c>
      <c r="R34" s="50">
        <v>2261.3065326633164</v>
      </c>
      <c r="S34" s="32"/>
      <c r="T34" s="15">
        <v>41.0</v>
      </c>
      <c r="U34" s="19">
        <v>900.0</v>
      </c>
      <c r="W34" s="15">
        <v>41.0</v>
      </c>
      <c r="X34" s="44">
        <v>4361.0</v>
      </c>
      <c r="Y34" s="32">
        <v>0.04361</v>
      </c>
      <c r="Z34" s="17">
        <v>41.0</v>
      </c>
      <c r="AA34" s="49">
        <v>263.23650000000004</v>
      </c>
      <c r="AE34" s="15">
        <v>41.0</v>
      </c>
      <c r="AF34" s="46">
        <f t="shared" si="2"/>
        <v>14185.54303</v>
      </c>
      <c r="AG34" s="27"/>
      <c r="AH34" s="27"/>
    </row>
    <row r="35">
      <c r="B35" s="15">
        <v>42.0</v>
      </c>
      <c r="C35" s="19">
        <v>500.0</v>
      </c>
      <c r="E35" s="15">
        <v>42.0</v>
      </c>
      <c r="F35" s="19">
        <v>2000.0</v>
      </c>
      <c r="H35" s="15">
        <v>42.0</v>
      </c>
      <c r="I35" s="47">
        <v>500.0</v>
      </c>
      <c r="K35" s="15">
        <v>42.0</v>
      </c>
      <c r="L35" s="48">
        <v>300.0</v>
      </c>
      <c r="N35" s="15">
        <v>42.0</v>
      </c>
      <c r="O35" s="19">
        <v>2000.0</v>
      </c>
      <c r="Q35" s="15">
        <v>42.0</v>
      </c>
      <c r="R35" s="50">
        <v>1507.5376884422112</v>
      </c>
      <c r="S35" s="32"/>
      <c r="T35" s="15">
        <v>42.0</v>
      </c>
      <c r="U35" s="19">
        <v>800.0</v>
      </c>
      <c r="W35" s="15">
        <v>42.0</v>
      </c>
      <c r="X35" s="44">
        <v>2905.0</v>
      </c>
      <c r="Y35" s="32">
        <v>0.02905</v>
      </c>
      <c r="Z35" s="17">
        <v>42.0</v>
      </c>
      <c r="AA35" s="52"/>
      <c r="AE35" s="15">
        <v>42.0</v>
      </c>
      <c r="AF35" s="46">
        <f t="shared" si="2"/>
        <v>10512.53769</v>
      </c>
      <c r="AG35" s="27"/>
      <c r="AH35" s="27"/>
    </row>
    <row r="36">
      <c r="B36" s="15">
        <v>43.0</v>
      </c>
      <c r="C36" s="19">
        <v>500.0</v>
      </c>
      <c r="E36" s="15">
        <v>43.0</v>
      </c>
      <c r="F36" s="19">
        <v>1600.0</v>
      </c>
      <c r="H36" s="15">
        <v>43.0</v>
      </c>
      <c r="I36" s="47">
        <v>500.0</v>
      </c>
      <c r="K36" s="15">
        <v>43.0</v>
      </c>
      <c r="L36" s="16"/>
      <c r="N36" s="15">
        <v>43.0</v>
      </c>
      <c r="O36" s="19">
        <v>1800.0</v>
      </c>
      <c r="Q36" s="15">
        <v>43.0</v>
      </c>
      <c r="R36" s="50">
        <v>1507.5376884422112</v>
      </c>
      <c r="S36" s="32"/>
      <c r="T36" s="15">
        <v>43.0</v>
      </c>
      <c r="U36" s="19">
        <v>600.0</v>
      </c>
      <c r="W36" s="15">
        <v>43.0</v>
      </c>
      <c r="X36" s="44">
        <v>2168.0</v>
      </c>
      <c r="Y36" s="32">
        <v>0.02168</v>
      </c>
      <c r="Z36" s="17">
        <v>43.0</v>
      </c>
      <c r="AA36" s="52"/>
      <c r="AE36" s="15">
        <v>43.0</v>
      </c>
      <c r="AF36" s="46">
        <f t="shared" si="2"/>
        <v>8675.537688</v>
      </c>
      <c r="AG36" s="27"/>
      <c r="AH36" s="27"/>
    </row>
    <row r="37">
      <c r="B37" s="15">
        <v>44.0</v>
      </c>
      <c r="C37" s="16"/>
      <c r="E37" s="15">
        <v>44.0</v>
      </c>
      <c r="F37" s="19">
        <v>760.0</v>
      </c>
      <c r="H37" s="15">
        <v>44.0</v>
      </c>
      <c r="I37" s="47">
        <v>300.0</v>
      </c>
      <c r="K37" s="15">
        <v>44.0</v>
      </c>
      <c r="L37" s="16"/>
      <c r="N37" s="15">
        <v>44.0</v>
      </c>
      <c r="O37" s="19">
        <v>1500.0</v>
      </c>
      <c r="Q37" s="15">
        <v>44.0</v>
      </c>
      <c r="R37" s="50">
        <v>753.7688442211056</v>
      </c>
      <c r="S37" s="32"/>
      <c r="T37" s="15">
        <v>44.0</v>
      </c>
      <c r="U37" s="19">
        <v>400.0</v>
      </c>
      <c r="W37" s="15">
        <v>44.0</v>
      </c>
      <c r="X37" s="44">
        <v>1403.0</v>
      </c>
      <c r="Y37" s="32">
        <v>0.01403</v>
      </c>
      <c r="Z37" s="17">
        <v>44.0</v>
      </c>
      <c r="AA37" s="52"/>
      <c r="AE37" s="15">
        <v>44.0</v>
      </c>
      <c r="AF37" s="46">
        <f t="shared" si="2"/>
        <v>5116.768844</v>
      </c>
      <c r="AG37" s="27"/>
      <c r="AH37" s="27"/>
    </row>
    <row r="38">
      <c r="B38" s="15">
        <v>45.0</v>
      </c>
      <c r="C38" s="16"/>
      <c r="E38" s="15">
        <v>45.0</v>
      </c>
      <c r="F38" s="19">
        <v>500.0</v>
      </c>
      <c r="H38" s="15">
        <v>45.0</v>
      </c>
      <c r="I38" s="47">
        <v>500.0</v>
      </c>
      <c r="K38" s="15">
        <v>45.0</v>
      </c>
      <c r="L38" s="16"/>
      <c r="N38" s="15">
        <v>45.0</v>
      </c>
      <c r="O38" s="19">
        <v>300.0</v>
      </c>
      <c r="Q38" s="15">
        <v>45.0</v>
      </c>
      <c r="R38" s="16"/>
      <c r="T38" s="15">
        <v>45.0</v>
      </c>
      <c r="U38" s="16"/>
      <c r="W38" s="15">
        <v>45.0</v>
      </c>
      <c r="X38" s="44">
        <v>123.0</v>
      </c>
      <c r="Y38" s="32">
        <v>0.00123</v>
      </c>
      <c r="Z38" s="17">
        <v>45.0</v>
      </c>
      <c r="AA38" s="52"/>
      <c r="AE38" s="15">
        <v>45.0</v>
      </c>
      <c r="AF38" s="46">
        <f t="shared" si="2"/>
        <v>1423</v>
      </c>
      <c r="AG38" s="27"/>
      <c r="AH38" s="27"/>
    </row>
    <row r="39">
      <c r="B39" s="23">
        <v>46.0</v>
      </c>
      <c r="C39" s="24"/>
      <c r="E39" s="23">
        <v>46.0</v>
      </c>
      <c r="F39" s="24">
        <v>400.0</v>
      </c>
      <c r="H39" s="23">
        <v>46.0</v>
      </c>
      <c r="I39" s="53">
        <v>300.0</v>
      </c>
      <c r="K39" s="23">
        <v>46.0</v>
      </c>
      <c r="L39" s="24"/>
      <c r="N39" s="23">
        <v>46.0</v>
      </c>
      <c r="O39" s="24">
        <v>200.0</v>
      </c>
      <c r="Q39" s="23">
        <v>46.0</v>
      </c>
      <c r="R39" s="24"/>
      <c r="T39" s="23">
        <v>46.0</v>
      </c>
      <c r="U39" s="24"/>
      <c r="W39" s="23">
        <v>46.0</v>
      </c>
      <c r="X39" s="54">
        <v>0.0</v>
      </c>
      <c r="Y39" s="28">
        <f t="shared" ref="Y39:Y40" si="3">X39/$X$40</f>
        <v>0</v>
      </c>
      <c r="Z39" s="25">
        <v>46.0</v>
      </c>
      <c r="AA39" s="55"/>
      <c r="AE39" s="23">
        <v>46.0</v>
      </c>
      <c r="AF39" s="46">
        <f t="shared" si="2"/>
        <v>900</v>
      </c>
      <c r="AG39" s="27"/>
      <c r="AH39" s="27"/>
    </row>
    <row r="40">
      <c r="B40" s="27" t="s">
        <v>7</v>
      </c>
      <c r="C40" s="28">
        <f>SUM(C7:C39)</f>
        <v>70000</v>
      </c>
      <c r="E40" s="27" t="s">
        <v>7</v>
      </c>
      <c r="F40" s="28">
        <f>SUM(F7:F39)</f>
        <v>185160</v>
      </c>
      <c r="H40" s="27" t="s">
        <v>7</v>
      </c>
      <c r="I40" s="28">
        <f>SUM(I7:I39)</f>
        <v>55200</v>
      </c>
      <c r="K40" s="27" t="s">
        <v>7</v>
      </c>
      <c r="L40" s="28">
        <f>SUM(L7:L39)</f>
        <v>40000</v>
      </c>
      <c r="N40" s="27" t="s">
        <v>7</v>
      </c>
      <c r="O40" s="28">
        <f>SUM(O7:O39)</f>
        <v>60000</v>
      </c>
      <c r="Q40" s="27" t="s">
        <v>7</v>
      </c>
      <c r="R40" s="56">
        <v>30000.0</v>
      </c>
      <c r="T40" s="27" t="s">
        <v>7</v>
      </c>
      <c r="U40" s="28">
        <f>SUM(U7:U39)</f>
        <v>30000</v>
      </c>
      <c r="W40" s="27" t="s">
        <v>7</v>
      </c>
      <c r="X40" s="57">
        <f>SUM(X7:X39)</f>
        <v>100000</v>
      </c>
      <c r="Y40" s="28">
        <f t="shared" si="3"/>
        <v>1</v>
      </c>
      <c r="Z40" s="29" t="s">
        <v>7</v>
      </c>
      <c r="AA40" s="58">
        <f>SUM(AA7:AA39)</f>
        <v>32254.61744</v>
      </c>
      <c r="AE40" s="27" t="s">
        <v>7</v>
      </c>
      <c r="AF40" s="59">
        <f t="shared" si="2"/>
        <v>602614.6174</v>
      </c>
      <c r="AG40" s="27"/>
      <c r="AH40" s="27"/>
    </row>
    <row r="45">
      <c r="B45" s="60" t="s">
        <v>24</v>
      </c>
    </row>
    <row r="49">
      <c r="B49" s="2" t="s">
        <v>10</v>
      </c>
      <c r="C49" s="3"/>
      <c r="E49" s="2" t="s">
        <v>25</v>
      </c>
      <c r="F49" s="3"/>
      <c r="H49" s="2" t="s">
        <v>26</v>
      </c>
      <c r="I49" s="3"/>
      <c r="K49" s="2" t="s">
        <v>27</v>
      </c>
      <c r="L49" s="3"/>
      <c r="N49" s="2" t="s">
        <v>28</v>
      </c>
      <c r="O49" s="3"/>
      <c r="Q49" s="2" t="s">
        <v>17</v>
      </c>
      <c r="R49" s="3"/>
      <c r="T49" s="2" t="s">
        <v>11</v>
      </c>
      <c r="U49" s="3"/>
      <c r="W49" s="2" t="s">
        <v>13</v>
      </c>
      <c r="X49" s="3"/>
      <c r="Z49" s="2" t="s">
        <v>29</v>
      </c>
      <c r="AA49" s="3"/>
      <c r="AC49" s="2" t="s">
        <v>12</v>
      </c>
      <c r="AD49" s="3"/>
      <c r="AF49" s="2" t="s">
        <v>15</v>
      </c>
      <c r="AG49" s="3"/>
    </row>
    <row r="50">
      <c r="B50" s="6" t="s">
        <v>8</v>
      </c>
      <c r="C50" s="9" t="s">
        <v>9</v>
      </c>
      <c r="D50" s="32">
        <f>C84/AF40</f>
        <v>0.4505366982</v>
      </c>
      <c r="E50" s="6" t="s">
        <v>8</v>
      </c>
      <c r="F50" s="9" t="s">
        <v>9</v>
      </c>
      <c r="G50" s="61">
        <v>0.165</v>
      </c>
      <c r="H50" s="6" t="s">
        <v>8</v>
      </c>
      <c r="I50" s="9" t="s">
        <v>9</v>
      </c>
      <c r="J50" s="33">
        <v>0.16</v>
      </c>
      <c r="K50" s="6" t="s">
        <v>8</v>
      </c>
      <c r="L50" s="9" t="s">
        <v>9</v>
      </c>
      <c r="M50" s="33">
        <v>0.1</v>
      </c>
      <c r="N50" s="6" t="s">
        <v>8</v>
      </c>
      <c r="O50" s="9" t="s">
        <v>9</v>
      </c>
      <c r="P50" s="33">
        <v>0.17</v>
      </c>
      <c r="Q50" s="6" t="s">
        <v>8</v>
      </c>
      <c r="R50" s="9" t="s">
        <v>9</v>
      </c>
      <c r="S50" s="33">
        <v>0.06</v>
      </c>
      <c r="T50" s="6" t="s">
        <v>8</v>
      </c>
      <c r="U50" s="9" t="s">
        <v>9</v>
      </c>
      <c r="V50" s="34">
        <v>0.18</v>
      </c>
      <c r="W50" s="6" t="s">
        <v>8</v>
      </c>
      <c r="X50" s="9" t="s">
        <v>9</v>
      </c>
      <c r="Y50" s="34">
        <v>0.02</v>
      </c>
      <c r="Z50" s="6" t="s">
        <v>8</v>
      </c>
      <c r="AA50" s="9" t="s">
        <v>9</v>
      </c>
      <c r="AB50" s="34">
        <v>0.01</v>
      </c>
      <c r="AC50" s="6" t="s">
        <v>8</v>
      </c>
      <c r="AD50" s="9" t="s">
        <v>9</v>
      </c>
      <c r="AE50" s="33">
        <v>0.1</v>
      </c>
      <c r="AF50" s="6" t="s">
        <v>8</v>
      </c>
      <c r="AG50" s="9" t="s">
        <v>9</v>
      </c>
      <c r="AH50" s="34">
        <v>0.085</v>
      </c>
    </row>
    <row r="51">
      <c r="B51" s="10">
        <v>14.0</v>
      </c>
      <c r="C51" s="11"/>
      <c r="E51" s="10">
        <v>14.0</v>
      </c>
      <c r="F51" s="62">
        <f t="shared" ref="F51:F83" si="4">AF7*$G$50</f>
        <v>0</v>
      </c>
      <c r="H51" s="10">
        <v>14.0</v>
      </c>
      <c r="I51" s="62">
        <f t="shared" ref="I51:I83" si="5">AF7*$J$50</f>
        <v>0</v>
      </c>
      <c r="K51" s="10">
        <v>14.0</v>
      </c>
      <c r="L51" s="62">
        <f t="shared" ref="L51:L83" si="6">AF7*$M$50</f>
        <v>0</v>
      </c>
      <c r="N51" s="10">
        <v>14.0</v>
      </c>
      <c r="O51" s="62">
        <f t="shared" ref="O51:O83" si="7">AF7*$P$50</f>
        <v>0</v>
      </c>
      <c r="Q51" s="10">
        <v>14.0</v>
      </c>
      <c r="R51" s="62">
        <f t="shared" ref="R51:R83" si="8">AF7*$S$50</f>
        <v>0</v>
      </c>
      <c r="T51" s="10">
        <v>14.0</v>
      </c>
      <c r="U51" s="62">
        <f t="shared" ref="U51:U83" si="9">AF7*$V$50</f>
        <v>0</v>
      </c>
      <c r="W51" s="10">
        <v>14.0</v>
      </c>
      <c r="X51" s="62">
        <f t="shared" ref="X51:X83" si="10">AF7*$Y$50</f>
        <v>0</v>
      </c>
      <c r="Z51" s="10">
        <v>14.0</v>
      </c>
      <c r="AA51" s="62">
        <f t="shared" ref="AA51:AA83" si="11">AF7*$AB$50</f>
        <v>0</v>
      </c>
      <c r="AC51" s="10">
        <v>14.0</v>
      </c>
      <c r="AD51" s="62">
        <f t="shared" ref="AD51:AD83" si="12">AF7*$AE$50</f>
        <v>0</v>
      </c>
      <c r="AF51" s="10">
        <v>14.0</v>
      </c>
      <c r="AG51" s="62">
        <f t="shared" ref="AG51:AG83" si="13">AF7*$AH$50</f>
        <v>0</v>
      </c>
    </row>
    <row r="52">
      <c r="B52" s="15">
        <v>15.0</v>
      </c>
      <c r="C52" s="16"/>
      <c r="E52" s="15">
        <v>15.0</v>
      </c>
      <c r="F52" s="63">
        <f t="shared" si="4"/>
        <v>0</v>
      </c>
      <c r="H52" s="15">
        <v>15.0</v>
      </c>
      <c r="I52" s="63">
        <f t="shared" si="5"/>
        <v>0</v>
      </c>
      <c r="K52" s="15">
        <v>15.0</v>
      </c>
      <c r="L52" s="63">
        <f t="shared" si="6"/>
        <v>0</v>
      </c>
      <c r="N52" s="15">
        <v>15.0</v>
      </c>
      <c r="O52" s="63">
        <f t="shared" si="7"/>
        <v>0</v>
      </c>
      <c r="Q52" s="15">
        <v>15.0</v>
      </c>
      <c r="R52" s="63">
        <f t="shared" si="8"/>
        <v>0</v>
      </c>
      <c r="T52" s="15">
        <v>15.0</v>
      </c>
      <c r="U52" s="63">
        <f t="shared" si="9"/>
        <v>0</v>
      </c>
      <c r="W52" s="15">
        <v>15.0</v>
      </c>
      <c r="X52" s="63">
        <f t="shared" si="10"/>
        <v>0</v>
      </c>
      <c r="Z52" s="15">
        <v>15.0</v>
      </c>
      <c r="AA52" s="63">
        <f t="shared" si="11"/>
        <v>0</v>
      </c>
      <c r="AC52" s="15">
        <v>15.0</v>
      </c>
      <c r="AD52" s="63">
        <f t="shared" si="12"/>
        <v>0</v>
      </c>
      <c r="AF52" s="15">
        <v>15.0</v>
      </c>
      <c r="AG52" s="63">
        <f t="shared" si="13"/>
        <v>0</v>
      </c>
    </row>
    <row r="53">
      <c r="B53" s="15">
        <v>16.0</v>
      </c>
      <c r="C53" s="16"/>
      <c r="E53" s="15">
        <v>16.0</v>
      </c>
      <c r="F53" s="63">
        <f t="shared" si="4"/>
        <v>0</v>
      </c>
      <c r="H53" s="15">
        <v>16.0</v>
      </c>
      <c r="I53" s="63">
        <f t="shared" si="5"/>
        <v>0</v>
      </c>
      <c r="K53" s="15">
        <v>16.0</v>
      </c>
      <c r="L53" s="63">
        <f t="shared" si="6"/>
        <v>0</v>
      </c>
      <c r="N53" s="15">
        <v>16.0</v>
      </c>
      <c r="O53" s="63">
        <f t="shared" si="7"/>
        <v>0</v>
      </c>
      <c r="Q53" s="15">
        <v>16.0</v>
      </c>
      <c r="R53" s="63">
        <f t="shared" si="8"/>
        <v>0</v>
      </c>
      <c r="T53" s="15">
        <v>16.0</v>
      </c>
      <c r="U53" s="63">
        <f t="shared" si="9"/>
        <v>0</v>
      </c>
      <c r="W53" s="15">
        <v>16.0</v>
      </c>
      <c r="X53" s="63">
        <f t="shared" si="10"/>
        <v>0</v>
      </c>
      <c r="Z53" s="15">
        <v>16.0</v>
      </c>
      <c r="AA53" s="63">
        <f t="shared" si="11"/>
        <v>0</v>
      </c>
      <c r="AC53" s="15">
        <v>16.0</v>
      </c>
      <c r="AD53" s="63">
        <f t="shared" si="12"/>
        <v>0</v>
      </c>
      <c r="AF53" s="15">
        <v>16.0</v>
      </c>
      <c r="AG53" s="63">
        <f t="shared" si="13"/>
        <v>0</v>
      </c>
    </row>
    <row r="54">
      <c r="B54" s="15">
        <v>17.0</v>
      </c>
      <c r="C54" s="16"/>
      <c r="E54" s="15">
        <v>17.0</v>
      </c>
      <c r="F54" s="63">
        <f t="shared" si="4"/>
        <v>0</v>
      </c>
      <c r="H54" s="15">
        <v>17.0</v>
      </c>
      <c r="I54" s="63">
        <f t="shared" si="5"/>
        <v>0</v>
      </c>
      <c r="K54" s="15">
        <v>17.0</v>
      </c>
      <c r="L54" s="63">
        <f t="shared" si="6"/>
        <v>0</v>
      </c>
      <c r="N54" s="15">
        <v>17.0</v>
      </c>
      <c r="O54" s="63">
        <f t="shared" si="7"/>
        <v>0</v>
      </c>
      <c r="Q54" s="15">
        <v>17.0</v>
      </c>
      <c r="R54" s="63">
        <f t="shared" si="8"/>
        <v>0</v>
      </c>
      <c r="T54" s="15">
        <v>17.0</v>
      </c>
      <c r="U54" s="63">
        <f t="shared" si="9"/>
        <v>0</v>
      </c>
      <c r="W54" s="15">
        <v>17.0</v>
      </c>
      <c r="X54" s="63">
        <f t="shared" si="10"/>
        <v>0</v>
      </c>
      <c r="Z54" s="15">
        <v>17.0</v>
      </c>
      <c r="AA54" s="63">
        <f t="shared" si="11"/>
        <v>0</v>
      </c>
      <c r="AC54" s="15">
        <v>17.0</v>
      </c>
      <c r="AD54" s="63">
        <f t="shared" si="12"/>
        <v>0</v>
      </c>
      <c r="AF54" s="15">
        <v>17.0</v>
      </c>
      <c r="AG54" s="63">
        <f t="shared" si="13"/>
        <v>0</v>
      </c>
    </row>
    <row r="55">
      <c r="B55" s="15">
        <v>18.0</v>
      </c>
      <c r="C55" s="16"/>
      <c r="E55" s="15">
        <v>18.0</v>
      </c>
      <c r="F55" s="63">
        <f t="shared" si="4"/>
        <v>0</v>
      </c>
      <c r="H55" s="15">
        <v>18.0</v>
      </c>
      <c r="I55" s="63">
        <f t="shared" si="5"/>
        <v>0</v>
      </c>
      <c r="K55" s="15">
        <v>18.0</v>
      </c>
      <c r="L55" s="63">
        <f t="shared" si="6"/>
        <v>0</v>
      </c>
      <c r="N55" s="15">
        <v>18.0</v>
      </c>
      <c r="O55" s="63">
        <f t="shared" si="7"/>
        <v>0</v>
      </c>
      <c r="Q55" s="15">
        <v>18.0</v>
      </c>
      <c r="R55" s="63">
        <f t="shared" si="8"/>
        <v>0</v>
      </c>
      <c r="T55" s="15">
        <v>18.0</v>
      </c>
      <c r="U55" s="63">
        <f t="shared" si="9"/>
        <v>0</v>
      </c>
      <c r="W55" s="15">
        <v>18.0</v>
      </c>
      <c r="X55" s="63">
        <f t="shared" si="10"/>
        <v>0</v>
      </c>
      <c r="Z55" s="15">
        <v>18.0</v>
      </c>
      <c r="AA55" s="63">
        <f t="shared" si="11"/>
        <v>0</v>
      </c>
      <c r="AC55" s="15">
        <v>18.0</v>
      </c>
      <c r="AD55" s="63">
        <f t="shared" si="12"/>
        <v>0</v>
      </c>
      <c r="AF55" s="15">
        <v>18.0</v>
      </c>
      <c r="AG55" s="63">
        <f t="shared" si="13"/>
        <v>0</v>
      </c>
    </row>
    <row r="56">
      <c r="B56" s="15">
        <v>19.0</v>
      </c>
      <c r="C56" s="16"/>
      <c r="E56" s="15">
        <v>19.0</v>
      </c>
      <c r="F56" s="63">
        <f t="shared" si="4"/>
        <v>0</v>
      </c>
      <c r="H56" s="15">
        <v>19.0</v>
      </c>
      <c r="I56" s="63">
        <f t="shared" si="5"/>
        <v>0</v>
      </c>
      <c r="K56" s="15">
        <v>19.0</v>
      </c>
      <c r="L56" s="63">
        <f t="shared" si="6"/>
        <v>0</v>
      </c>
      <c r="N56" s="15">
        <v>19.0</v>
      </c>
      <c r="O56" s="63">
        <f t="shared" si="7"/>
        <v>0</v>
      </c>
      <c r="Q56" s="15">
        <v>19.0</v>
      </c>
      <c r="R56" s="63">
        <f t="shared" si="8"/>
        <v>0</v>
      </c>
      <c r="T56" s="15">
        <v>19.0</v>
      </c>
      <c r="U56" s="63">
        <f t="shared" si="9"/>
        <v>0</v>
      </c>
      <c r="W56" s="15">
        <v>19.0</v>
      </c>
      <c r="X56" s="63">
        <f t="shared" si="10"/>
        <v>0</v>
      </c>
      <c r="Z56" s="15">
        <v>19.0</v>
      </c>
      <c r="AA56" s="63">
        <f t="shared" si="11"/>
        <v>0</v>
      </c>
      <c r="AC56" s="15">
        <v>19.0</v>
      </c>
      <c r="AD56" s="63">
        <f t="shared" si="12"/>
        <v>0</v>
      </c>
      <c r="AF56" s="15">
        <v>19.0</v>
      </c>
      <c r="AG56" s="63">
        <f t="shared" si="13"/>
        <v>0</v>
      </c>
    </row>
    <row r="57">
      <c r="B57" s="15">
        <v>20.0</v>
      </c>
      <c r="C57" s="16"/>
      <c r="E57" s="15">
        <v>20.0</v>
      </c>
      <c r="F57" s="63">
        <f t="shared" si="4"/>
        <v>0</v>
      </c>
      <c r="H57" s="15">
        <v>20.0</v>
      </c>
      <c r="I57" s="63">
        <f t="shared" si="5"/>
        <v>0</v>
      </c>
      <c r="K57" s="15">
        <v>20.0</v>
      </c>
      <c r="L57" s="63">
        <f t="shared" si="6"/>
        <v>0</v>
      </c>
      <c r="N57" s="15">
        <v>20.0</v>
      </c>
      <c r="O57" s="63">
        <f t="shared" si="7"/>
        <v>0</v>
      </c>
      <c r="Q57" s="15">
        <v>20.0</v>
      </c>
      <c r="R57" s="63">
        <f t="shared" si="8"/>
        <v>0</v>
      </c>
      <c r="T57" s="15">
        <v>20.0</v>
      </c>
      <c r="U57" s="63">
        <f t="shared" si="9"/>
        <v>0</v>
      </c>
      <c r="W57" s="15">
        <v>20.0</v>
      </c>
      <c r="X57" s="63">
        <f t="shared" si="10"/>
        <v>0</v>
      </c>
      <c r="Z57" s="15">
        <v>20.0</v>
      </c>
      <c r="AA57" s="63">
        <f t="shared" si="11"/>
        <v>0</v>
      </c>
      <c r="AC57" s="15">
        <v>20.0</v>
      </c>
      <c r="AD57" s="63">
        <f t="shared" si="12"/>
        <v>0</v>
      </c>
      <c r="AF57" s="15">
        <v>20.0</v>
      </c>
      <c r="AG57" s="63">
        <f t="shared" si="13"/>
        <v>0</v>
      </c>
    </row>
    <row r="58">
      <c r="B58" s="15">
        <v>21.0</v>
      </c>
      <c r="C58" s="16"/>
      <c r="E58" s="15">
        <v>21.0</v>
      </c>
      <c r="F58" s="63">
        <f t="shared" si="4"/>
        <v>0</v>
      </c>
      <c r="H58" s="15">
        <v>21.0</v>
      </c>
      <c r="I58" s="63">
        <f t="shared" si="5"/>
        <v>0</v>
      </c>
      <c r="K58" s="15">
        <v>21.0</v>
      </c>
      <c r="L58" s="63">
        <f t="shared" si="6"/>
        <v>0</v>
      </c>
      <c r="N58" s="15">
        <v>21.0</v>
      </c>
      <c r="O58" s="63">
        <f t="shared" si="7"/>
        <v>0</v>
      </c>
      <c r="Q58" s="15">
        <v>21.0</v>
      </c>
      <c r="R58" s="63">
        <f t="shared" si="8"/>
        <v>0</v>
      </c>
      <c r="T58" s="15">
        <v>21.0</v>
      </c>
      <c r="U58" s="63">
        <f t="shared" si="9"/>
        <v>0</v>
      </c>
      <c r="W58" s="15">
        <v>21.0</v>
      </c>
      <c r="X58" s="63">
        <f t="shared" si="10"/>
        <v>0</v>
      </c>
      <c r="Z58" s="15">
        <v>21.0</v>
      </c>
      <c r="AA58" s="63">
        <f t="shared" si="11"/>
        <v>0</v>
      </c>
      <c r="AC58" s="15">
        <v>21.0</v>
      </c>
      <c r="AD58" s="63">
        <f t="shared" si="12"/>
        <v>0</v>
      </c>
      <c r="AF58" s="15">
        <v>21.0</v>
      </c>
      <c r="AG58" s="63">
        <f t="shared" si="13"/>
        <v>0</v>
      </c>
    </row>
    <row r="59">
      <c r="B59" s="15">
        <v>22.0</v>
      </c>
      <c r="C59" s="19">
        <v>2000.0</v>
      </c>
      <c r="E59" s="15">
        <v>22.0</v>
      </c>
      <c r="F59" s="63">
        <f t="shared" si="4"/>
        <v>179.85</v>
      </c>
      <c r="H59" s="15">
        <v>22.0</v>
      </c>
      <c r="I59" s="63">
        <f t="shared" si="5"/>
        <v>174.4</v>
      </c>
      <c r="K59" s="15">
        <v>22.0</v>
      </c>
      <c r="L59" s="63">
        <f t="shared" si="6"/>
        <v>109</v>
      </c>
      <c r="N59" s="15">
        <v>22.0</v>
      </c>
      <c r="O59" s="63">
        <f t="shared" si="7"/>
        <v>185.3</v>
      </c>
      <c r="Q59" s="15">
        <v>22.0</v>
      </c>
      <c r="R59" s="63">
        <f t="shared" si="8"/>
        <v>65.4</v>
      </c>
      <c r="T59" s="15">
        <v>22.0</v>
      </c>
      <c r="U59" s="63">
        <f t="shared" si="9"/>
        <v>196.2</v>
      </c>
      <c r="W59" s="15">
        <v>22.0</v>
      </c>
      <c r="X59" s="63">
        <f t="shared" si="10"/>
        <v>21.8</v>
      </c>
      <c r="Z59" s="15">
        <v>22.0</v>
      </c>
      <c r="AA59" s="63">
        <f t="shared" si="11"/>
        <v>10.9</v>
      </c>
      <c r="AC59" s="15">
        <v>22.0</v>
      </c>
      <c r="AD59" s="63">
        <f t="shared" si="12"/>
        <v>109</v>
      </c>
      <c r="AF59" s="15">
        <v>22.0</v>
      </c>
      <c r="AG59" s="63">
        <f t="shared" si="13"/>
        <v>92.65</v>
      </c>
    </row>
    <row r="60">
      <c r="B60" s="15">
        <v>23.0</v>
      </c>
      <c r="C60" s="19">
        <v>3500.0</v>
      </c>
      <c r="E60" s="15">
        <v>23.0</v>
      </c>
      <c r="F60" s="63">
        <f t="shared" si="4"/>
        <v>1030.414172</v>
      </c>
      <c r="H60" s="15">
        <v>23.0</v>
      </c>
      <c r="I60" s="63">
        <f t="shared" si="5"/>
        <v>999.1895</v>
      </c>
      <c r="K60" s="15">
        <v>23.0</v>
      </c>
      <c r="L60" s="63">
        <f t="shared" si="6"/>
        <v>624.4934375</v>
      </c>
      <c r="N60" s="15">
        <v>23.0</v>
      </c>
      <c r="O60" s="63">
        <f t="shared" si="7"/>
        <v>1061.638844</v>
      </c>
      <c r="Q60" s="15">
        <v>23.0</v>
      </c>
      <c r="R60" s="63">
        <f t="shared" si="8"/>
        <v>374.6960625</v>
      </c>
      <c r="T60" s="15">
        <v>23.0</v>
      </c>
      <c r="U60" s="63">
        <f t="shared" si="9"/>
        <v>1124.088188</v>
      </c>
      <c r="W60" s="15">
        <v>23.0</v>
      </c>
      <c r="X60" s="63">
        <f t="shared" si="10"/>
        <v>124.8986875</v>
      </c>
      <c r="Z60" s="15">
        <v>23.0</v>
      </c>
      <c r="AA60" s="63">
        <f t="shared" si="11"/>
        <v>62.44934375</v>
      </c>
      <c r="AC60" s="15">
        <v>23.0</v>
      </c>
      <c r="AD60" s="63">
        <f t="shared" si="12"/>
        <v>624.4934375</v>
      </c>
      <c r="AF60" s="15">
        <v>23.0</v>
      </c>
      <c r="AG60" s="63">
        <f t="shared" si="13"/>
        <v>530.8194219</v>
      </c>
    </row>
    <row r="61">
      <c r="B61" s="15">
        <v>24.0</v>
      </c>
      <c r="C61" s="19">
        <v>10000.0</v>
      </c>
      <c r="E61" s="15">
        <v>24.0</v>
      </c>
      <c r="F61" s="63">
        <f t="shared" si="4"/>
        <v>2603.201906</v>
      </c>
      <c r="H61" s="15">
        <v>24.0</v>
      </c>
      <c r="I61" s="63">
        <f t="shared" si="5"/>
        <v>2524.317</v>
      </c>
      <c r="K61" s="15">
        <v>24.0</v>
      </c>
      <c r="L61" s="63">
        <f t="shared" si="6"/>
        <v>1577.698125</v>
      </c>
      <c r="N61" s="15">
        <v>24.0</v>
      </c>
      <c r="O61" s="63">
        <f t="shared" si="7"/>
        <v>2682.086813</v>
      </c>
      <c r="Q61" s="15">
        <v>24.0</v>
      </c>
      <c r="R61" s="63">
        <f t="shared" si="8"/>
        <v>946.618875</v>
      </c>
      <c r="T61" s="15">
        <v>24.0</v>
      </c>
      <c r="U61" s="63">
        <f t="shared" si="9"/>
        <v>2839.856625</v>
      </c>
      <c r="W61" s="15">
        <v>24.0</v>
      </c>
      <c r="X61" s="63">
        <f t="shared" si="10"/>
        <v>315.539625</v>
      </c>
      <c r="Z61" s="15">
        <v>24.0</v>
      </c>
      <c r="AA61" s="63">
        <f t="shared" si="11"/>
        <v>157.7698125</v>
      </c>
      <c r="AC61" s="15">
        <v>24.0</v>
      </c>
      <c r="AD61" s="63">
        <f t="shared" si="12"/>
        <v>1577.698125</v>
      </c>
      <c r="AF61" s="15">
        <v>24.0</v>
      </c>
      <c r="AG61" s="63">
        <f t="shared" si="13"/>
        <v>1341.043406</v>
      </c>
    </row>
    <row r="62">
      <c r="B62" s="15">
        <v>25.0</v>
      </c>
      <c r="C62" s="35">
        <v>20000.0</v>
      </c>
      <c r="E62" s="15">
        <v>25.0</v>
      </c>
      <c r="F62" s="63">
        <f t="shared" si="4"/>
        <v>4702.301075</v>
      </c>
      <c r="H62" s="15">
        <v>25.0</v>
      </c>
      <c r="I62" s="63">
        <f t="shared" si="5"/>
        <v>4559.807103</v>
      </c>
      <c r="K62" s="15">
        <v>25.0</v>
      </c>
      <c r="L62" s="63">
        <f t="shared" si="6"/>
        <v>2849.879439</v>
      </c>
      <c r="N62" s="15">
        <v>25.0</v>
      </c>
      <c r="O62" s="63">
        <f t="shared" si="7"/>
        <v>4844.795047</v>
      </c>
      <c r="Q62" s="15">
        <v>25.0</v>
      </c>
      <c r="R62" s="63">
        <f t="shared" si="8"/>
        <v>1709.927664</v>
      </c>
      <c r="T62" s="15">
        <v>25.0</v>
      </c>
      <c r="U62" s="63">
        <f t="shared" si="9"/>
        <v>5129.782991</v>
      </c>
      <c r="W62" s="15">
        <v>25.0</v>
      </c>
      <c r="X62" s="63">
        <f t="shared" si="10"/>
        <v>569.9758879</v>
      </c>
      <c r="Z62" s="15">
        <v>25.0</v>
      </c>
      <c r="AA62" s="63">
        <f t="shared" si="11"/>
        <v>284.9879439</v>
      </c>
      <c r="AC62" s="15">
        <v>25.0</v>
      </c>
      <c r="AD62" s="63">
        <f t="shared" si="12"/>
        <v>2849.879439</v>
      </c>
      <c r="AF62" s="15">
        <v>25.0</v>
      </c>
      <c r="AG62" s="63">
        <f t="shared" si="13"/>
        <v>2422.397523</v>
      </c>
    </row>
    <row r="63">
      <c r="B63" s="15">
        <v>26.0</v>
      </c>
      <c r="C63" s="35">
        <v>40000.0</v>
      </c>
      <c r="E63" s="15">
        <v>26.0</v>
      </c>
      <c r="F63" s="63">
        <f t="shared" si="4"/>
        <v>7674.03265</v>
      </c>
      <c r="H63" s="15">
        <v>26.0</v>
      </c>
      <c r="I63" s="63">
        <f t="shared" si="5"/>
        <v>7441.486206</v>
      </c>
      <c r="K63" s="15">
        <v>26.0</v>
      </c>
      <c r="L63" s="63">
        <f t="shared" si="6"/>
        <v>4650.928879</v>
      </c>
      <c r="N63" s="15">
        <v>26.0</v>
      </c>
      <c r="O63" s="63">
        <f t="shared" si="7"/>
        <v>7906.579094</v>
      </c>
      <c r="Q63" s="15">
        <v>26.0</v>
      </c>
      <c r="R63" s="63">
        <f t="shared" si="8"/>
        <v>2790.557327</v>
      </c>
      <c r="T63" s="15">
        <v>26.0</v>
      </c>
      <c r="U63" s="63">
        <f t="shared" si="9"/>
        <v>8371.671982</v>
      </c>
      <c r="W63" s="15">
        <v>26.0</v>
      </c>
      <c r="X63" s="63">
        <f t="shared" si="10"/>
        <v>930.1857758</v>
      </c>
      <c r="Z63" s="15">
        <v>26.0</v>
      </c>
      <c r="AA63" s="63">
        <f t="shared" si="11"/>
        <v>465.0928879</v>
      </c>
      <c r="AC63" s="15">
        <v>26.0</v>
      </c>
      <c r="AD63" s="63">
        <f t="shared" si="12"/>
        <v>4650.928879</v>
      </c>
      <c r="AF63" s="15">
        <v>26.0</v>
      </c>
      <c r="AG63" s="63">
        <f t="shared" si="13"/>
        <v>3953.289547</v>
      </c>
    </row>
    <row r="64">
      <c r="B64" s="15">
        <v>27.0</v>
      </c>
      <c r="C64" s="35">
        <v>40000.0</v>
      </c>
      <c r="E64" s="15">
        <v>27.0</v>
      </c>
      <c r="F64" s="63">
        <f t="shared" si="4"/>
        <v>9570.877609</v>
      </c>
      <c r="H64" s="15">
        <v>27.0</v>
      </c>
      <c r="I64" s="63">
        <f t="shared" si="5"/>
        <v>9280.851015</v>
      </c>
      <c r="K64" s="15">
        <v>27.0</v>
      </c>
      <c r="L64" s="63">
        <f t="shared" si="6"/>
        <v>5800.531884</v>
      </c>
      <c r="N64" s="15">
        <v>27.0</v>
      </c>
      <c r="O64" s="63">
        <f t="shared" si="7"/>
        <v>9860.904204</v>
      </c>
      <c r="Q64" s="15">
        <v>27.0</v>
      </c>
      <c r="R64" s="63">
        <f t="shared" si="8"/>
        <v>3480.319131</v>
      </c>
      <c r="T64" s="15">
        <v>27.0</v>
      </c>
      <c r="U64" s="63">
        <f t="shared" si="9"/>
        <v>10440.95739</v>
      </c>
      <c r="W64" s="15">
        <v>27.0</v>
      </c>
      <c r="X64" s="63">
        <f t="shared" si="10"/>
        <v>1160.106377</v>
      </c>
      <c r="Z64" s="15">
        <v>27.0</v>
      </c>
      <c r="AA64" s="63">
        <f t="shared" si="11"/>
        <v>580.0531884</v>
      </c>
      <c r="AC64" s="15">
        <v>27.0</v>
      </c>
      <c r="AD64" s="63">
        <f t="shared" si="12"/>
        <v>5800.531884</v>
      </c>
      <c r="AF64" s="15">
        <v>27.0</v>
      </c>
      <c r="AG64" s="63">
        <f t="shared" si="13"/>
        <v>4930.452102</v>
      </c>
    </row>
    <row r="65">
      <c r="B65" s="15">
        <v>28.0</v>
      </c>
      <c r="C65" s="35">
        <v>40000.0</v>
      </c>
      <c r="E65" s="15">
        <v>28.0</v>
      </c>
      <c r="F65" s="63">
        <f t="shared" si="4"/>
        <v>10804.51042</v>
      </c>
      <c r="H65" s="15">
        <v>28.0</v>
      </c>
      <c r="I65" s="63">
        <f t="shared" si="5"/>
        <v>10477.10102</v>
      </c>
      <c r="K65" s="15">
        <v>28.0</v>
      </c>
      <c r="L65" s="63">
        <f t="shared" si="6"/>
        <v>6548.188134</v>
      </c>
      <c r="N65" s="15">
        <v>28.0</v>
      </c>
      <c r="O65" s="63">
        <f t="shared" si="7"/>
        <v>11131.91983</v>
      </c>
      <c r="Q65" s="15">
        <v>28.0</v>
      </c>
      <c r="R65" s="63">
        <f t="shared" si="8"/>
        <v>3928.912881</v>
      </c>
      <c r="T65" s="15">
        <v>28.0</v>
      </c>
      <c r="U65" s="63">
        <f t="shared" si="9"/>
        <v>11786.73864</v>
      </c>
      <c r="W65" s="15">
        <v>28.0</v>
      </c>
      <c r="X65" s="63">
        <f t="shared" si="10"/>
        <v>1309.637627</v>
      </c>
      <c r="Z65" s="15">
        <v>28.0</v>
      </c>
      <c r="AA65" s="63">
        <f t="shared" si="11"/>
        <v>654.8188134</v>
      </c>
      <c r="AC65" s="15">
        <v>28.0</v>
      </c>
      <c r="AD65" s="63">
        <f t="shared" si="12"/>
        <v>6548.188134</v>
      </c>
      <c r="AF65" s="15">
        <v>28.0</v>
      </c>
      <c r="AG65" s="63">
        <f t="shared" si="13"/>
        <v>5565.959914</v>
      </c>
    </row>
    <row r="66">
      <c r="B66" s="15">
        <v>29.0</v>
      </c>
      <c r="C66" s="35">
        <v>35000.0</v>
      </c>
      <c r="E66" s="15">
        <v>29.0</v>
      </c>
      <c r="F66" s="63">
        <f t="shared" si="4"/>
        <v>9349.699765</v>
      </c>
      <c r="H66" s="15">
        <v>29.0</v>
      </c>
      <c r="I66" s="63">
        <f t="shared" si="5"/>
        <v>9066.37553</v>
      </c>
      <c r="K66" s="15">
        <v>29.0</v>
      </c>
      <c r="L66" s="63">
        <f t="shared" si="6"/>
        <v>5666.484706</v>
      </c>
      <c r="N66" s="15">
        <v>29.0</v>
      </c>
      <c r="O66" s="63">
        <f t="shared" si="7"/>
        <v>9633.024001</v>
      </c>
      <c r="Q66" s="15">
        <v>29.0</v>
      </c>
      <c r="R66" s="63">
        <f t="shared" si="8"/>
        <v>3399.890824</v>
      </c>
      <c r="T66" s="15">
        <v>29.0</v>
      </c>
      <c r="U66" s="63">
        <f t="shared" si="9"/>
        <v>10199.67247</v>
      </c>
      <c r="W66" s="15">
        <v>29.0</v>
      </c>
      <c r="X66" s="63">
        <f t="shared" si="10"/>
        <v>1133.296941</v>
      </c>
      <c r="Z66" s="15">
        <v>29.0</v>
      </c>
      <c r="AA66" s="63">
        <f t="shared" si="11"/>
        <v>566.6484706</v>
      </c>
      <c r="AC66" s="15">
        <v>29.0</v>
      </c>
      <c r="AD66" s="63">
        <f t="shared" si="12"/>
        <v>5666.484706</v>
      </c>
      <c r="AF66" s="15">
        <v>29.0</v>
      </c>
      <c r="AG66" s="63">
        <f t="shared" si="13"/>
        <v>4816.512</v>
      </c>
    </row>
    <row r="67">
      <c r="B67" s="15">
        <v>30.0</v>
      </c>
      <c r="C67" s="35">
        <v>14000.0</v>
      </c>
      <c r="E67" s="15">
        <v>30.0</v>
      </c>
      <c r="F67" s="63">
        <f t="shared" si="4"/>
        <v>6413.11589</v>
      </c>
      <c r="H67" s="15">
        <v>30.0</v>
      </c>
      <c r="I67" s="63">
        <f t="shared" si="5"/>
        <v>6218.779045</v>
      </c>
      <c r="K67" s="15">
        <v>30.0</v>
      </c>
      <c r="L67" s="63">
        <f t="shared" si="6"/>
        <v>3886.736903</v>
      </c>
      <c r="N67" s="15">
        <v>30.0</v>
      </c>
      <c r="O67" s="63">
        <f t="shared" si="7"/>
        <v>6607.452736</v>
      </c>
      <c r="Q67" s="15">
        <v>30.0</v>
      </c>
      <c r="R67" s="63">
        <f t="shared" si="8"/>
        <v>2332.042142</v>
      </c>
      <c r="T67" s="15">
        <v>30.0</v>
      </c>
      <c r="U67" s="63">
        <f t="shared" si="9"/>
        <v>6996.126426</v>
      </c>
      <c r="W67" s="15">
        <v>30.0</v>
      </c>
      <c r="X67" s="63">
        <f t="shared" si="10"/>
        <v>777.3473807</v>
      </c>
      <c r="Z67" s="15">
        <v>30.0</v>
      </c>
      <c r="AA67" s="63">
        <f t="shared" si="11"/>
        <v>388.6736903</v>
      </c>
      <c r="AC67" s="15">
        <v>30.0</v>
      </c>
      <c r="AD67" s="63">
        <f t="shared" si="12"/>
        <v>3886.736903</v>
      </c>
      <c r="AF67" s="15">
        <v>30.0</v>
      </c>
      <c r="AG67" s="63">
        <f t="shared" si="13"/>
        <v>3303.726368</v>
      </c>
    </row>
    <row r="68">
      <c r="B68" s="15">
        <v>31.0</v>
      </c>
      <c r="C68" s="35">
        <v>8000.0</v>
      </c>
      <c r="E68" s="15">
        <v>31.0</v>
      </c>
      <c r="F68" s="63">
        <f t="shared" si="4"/>
        <v>5276.926953</v>
      </c>
      <c r="H68" s="15">
        <v>31.0</v>
      </c>
      <c r="I68" s="63">
        <f t="shared" si="5"/>
        <v>5117.020075</v>
      </c>
      <c r="K68" s="15">
        <v>31.0</v>
      </c>
      <c r="L68" s="63">
        <f t="shared" si="6"/>
        <v>3198.137547</v>
      </c>
      <c r="N68" s="15">
        <v>31.0</v>
      </c>
      <c r="O68" s="63">
        <f t="shared" si="7"/>
        <v>5436.83383</v>
      </c>
      <c r="Q68" s="15">
        <v>31.0</v>
      </c>
      <c r="R68" s="63">
        <f t="shared" si="8"/>
        <v>1918.882528</v>
      </c>
      <c r="T68" s="15">
        <v>31.0</v>
      </c>
      <c r="U68" s="63">
        <f t="shared" si="9"/>
        <v>5756.647585</v>
      </c>
      <c r="W68" s="15">
        <v>31.0</v>
      </c>
      <c r="X68" s="63">
        <f t="shared" si="10"/>
        <v>639.6275094</v>
      </c>
      <c r="Z68" s="15">
        <v>31.0</v>
      </c>
      <c r="AA68" s="63">
        <f t="shared" si="11"/>
        <v>319.8137547</v>
      </c>
      <c r="AC68" s="15">
        <v>31.0</v>
      </c>
      <c r="AD68" s="63">
        <f t="shared" si="12"/>
        <v>3198.137547</v>
      </c>
      <c r="AF68" s="15">
        <v>31.0</v>
      </c>
      <c r="AG68" s="63">
        <f t="shared" si="13"/>
        <v>2718.416915</v>
      </c>
    </row>
    <row r="69">
      <c r="B69" s="15">
        <v>32.0</v>
      </c>
      <c r="C69" s="35">
        <v>8000.0</v>
      </c>
      <c r="E69" s="15">
        <v>32.0</v>
      </c>
      <c r="F69" s="63">
        <f t="shared" si="4"/>
        <v>5163.377304</v>
      </c>
      <c r="H69" s="15">
        <v>32.0</v>
      </c>
      <c r="I69" s="63">
        <f t="shared" si="5"/>
        <v>5006.911325</v>
      </c>
      <c r="K69" s="15">
        <v>32.0</v>
      </c>
      <c r="L69" s="63">
        <f t="shared" si="6"/>
        <v>3129.319578</v>
      </c>
      <c r="N69" s="15">
        <v>32.0</v>
      </c>
      <c r="O69" s="63">
        <f t="shared" si="7"/>
        <v>5319.843283</v>
      </c>
      <c r="Q69" s="15">
        <v>32.0</v>
      </c>
      <c r="R69" s="63">
        <f t="shared" si="8"/>
        <v>1877.591747</v>
      </c>
      <c r="T69" s="15">
        <v>32.0</v>
      </c>
      <c r="U69" s="63">
        <f t="shared" si="9"/>
        <v>5632.775241</v>
      </c>
      <c r="W69" s="15">
        <v>32.0</v>
      </c>
      <c r="X69" s="63">
        <f t="shared" si="10"/>
        <v>625.8639157</v>
      </c>
      <c r="Z69" s="15">
        <v>32.0</v>
      </c>
      <c r="AA69" s="63">
        <f t="shared" si="11"/>
        <v>312.9319578</v>
      </c>
      <c r="AC69" s="15">
        <v>32.0</v>
      </c>
      <c r="AD69" s="63">
        <f t="shared" si="12"/>
        <v>3129.319578</v>
      </c>
      <c r="AF69" s="15">
        <v>32.0</v>
      </c>
      <c r="AG69" s="63">
        <f t="shared" si="13"/>
        <v>2659.921642</v>
      </c>
    </row>
    <row r="70">
      <c r="B70" s="15">
        <v>33.0</v>
      </c>
      <c r="C70" s="19">
        <v>8000.0</v>
      </c>
      <c r="E70" s="15">
        <v>33.0</v>
      </c>
      <c r="F70" s="63">
        <f t="shared" si="4"/>
        <v>4302.642898</v>
      </c>
      <c r="H70" s="15">
        <v>33.0</v>
      </c>
      <c r="I70" s="63">
        <f t="shared" si="5"/>
        <v>4172.25978</v>
      </c>
      <c r="K70" s="15">
        <v>33.0</v>
      </c>
      <c r="L70" s="63">
        <f t="shared" si="6"/>
        <v>2607.662363</v>
      </c>
      <c r="N70" s="15">
        <v>33.0</v>
      </c>
      <c r="O70" s="63">
        <f t="shared" si="7"/>
        <v>4433.026016</v>
      </c>
      <c r="Q70" s="15">
        <v>33.0</v>
      </c>
      <c r="R70" s="63">
        <f t="shared" si="8"/>
        <v>1564.597418</v>
      </c>
      <c r="T70" s="15">
        <v>33.0</v>
      </c>
      <c r="U70" s="63">
        <f t="shared" si="9"/>
        <v>4693.792253</v>
      </c>
      <c r="W70" s="15">
        <v>33.0</v>
      </c>
      <c r="X70" s="63">
        <f t="shared" si="10"/>
        <v>521.5324725</v>
      </c>
      <c r="Z70" s="15">
        <v>33.0</v>
      </c>
      <c r="AA70" s="63">
        <f t="shared" si="11"/>
        <v>260.7662363</v>
      </c>
      <c r="AC70" s="15">
        <v>33.0</v>
      </c>
      <c r="AD70" s="63">
        <f t="shared" si="12"/>
        <v>2607.662363</v>
      </c>
      <c r="AF70" s="15">
        <v>33.0</v>
      </c>
      <c r="AG70" s="63">
        <f t="shared" si="13"/>
        <v>2216.513008</v>
      </c>
    </row>
    <row r="71">
      <c r="B71" s="15">
        <v>34.0</v>
      </c>
      <c r="C71" s="19">
        <v>8000.0</v>
      </c>
      <c r="E71" s="15">
        <v>34.0</v>
      </c>
      <c r="F71" s="63">
        <f t="shared" si="4"/>
        <v>4334.212137</v>
      </c>
      <c r="H71" s="15">
        <v>34.0</v>
      </c>
      <c r="I71" s="63">
        <f t="shared" si="5"/>
        <v>4202.872375</v>
      </c>
      <c r="K71" s="15">
        <v>34.0</v>
      </c>
      <c r="L71" s="63">
        <f t="shared" si="6"/>
        <v>2626.795234</v>
      </c>
      <c r="N71" s="15">
        <v>34.0</v>
      </c>
      <c r="O71" s="63">
        <f t="shared" si="7"/>
        <v>4465.551899</v>
      </c>
      <c r="Q71" s="15">
        <v>34.0</v>
      </c>
      <c r="R71" s="63">
        <f t="shared" si="8"/>
        <v>1576.077141</v>
      </c>
      <c r="T71" s="15">
        <v>34.0</v>
      </c>
      <c r="U71" s="63">
        <f t="shared" si="9"/>
        <v>4728.231422</v>
      </c>
      <c r="W71" s="15">
        <v>34.0</v>
      </c>
      <c r="X71" s="63">
        <f t="shared" si="10"/>
        <v>525.3590469</v>
      </c>
      <c r="Z71" s="15">
        <v>34.0</v>
      </c>
      <c r="AA71" s="63">
        <f t="shared" si="11"/>
        <v>262.6795234</v>
      </c>
      <c r="AC71" s="15">
        <v>34.0</v>
      </c>
      <c r="AD71" s="63">
        <f t="shared" si="12"/>
        <v>2626.795234</v>
      </c>
      <c r="AF71" s="15">
        <v>34.0</v>
      </c>
      <c r="AG71" s="63">
        <f t="shared" si="13"/>
        <v>2232.775949</v>
      </c>
    </row>
    <row r="72">
      <c r="B72" s="15">
        <v>35.0</v>
      </c>
      <c r="C72" s="19">
        <v>6000.0</v>
      </c>
      <c r="E72" s="15">
        <v>35.0</v>
      </c>
      <c r="F72" s="63">
        <f t="shared" si="4"/>
        <v>4379.115066</v>
      </c>
      <c r="H72" s="15">
        <v>35.0</v>
      </c>
      <c r="I72" s="63">
        <f t="shared" si="5"/>
        <v>4246.414609</v>
      </c>
      <c r="K72" s="15">
        <v>35.0</v>
      </c>
      <c r="L72" s="63">
        <f t="shared" si="6"/>
        <v>2654.009131</v>
      </c>
      <c r="N72" s="15">
        <v>35.0</v>
      </c>
      <c r="O72" s="63">
        <f t="shared" si="7"/>
        <v>4511.815522</v>
      </c>
      <c r="Q72" s="15">
        <v>35.0</v>
      </c>
      <c r="R72" s="63">
        <f t="shared" si="8"/>
        <v>1592.405478</v>
      </c>
      <c r="T72" s="15">
        <v>35.0</v>
      </c>
      <c r="U72" s="63">
        <f t="shared" si="9"/>
        <v>4777.216435</v>
      </c>
      <c r="W72" s="15">
        <v>35.0</v>
      </c>
      <c r="X72" s="63">
        <f t="shared" si="10"/>
        <v>530.8018261</v>
      </c>
      <c r="Z72" s="15">
        <v>35.0</v>
      </c>
      <c r="AA72" s="63">
        <f t="shared" si="11"/>
        <v>265.4009131</v>
      </c>
      <c r="AC72" s="15">
        <v>35.0</v>
      </c>
      <c r="AD72" s="63">
        <f t="shared" si="12"/>
        <v>2654.009131</v>
      </c>
      <c r="AF72" s="15">
        <v>35.0</v>
      </c>
      <c r="AG72" s="63">
        <f t="shared" si="13"/>
        <v>2255.907761</v>
      </c>
    </row>
    <row r="73">
      <c r="B73" s="15">
        <v>36.0</v>
      </c>
      <c r="C73" s="19">
        <v>6000.0</v>
      </c>
      <c r="E73" s="15">
        <v>36.0</v>
      </c>
      <c r="F73" s="63">
        <f t="shared" si="4"/>
        <v>4044.673049</v>
      </c>
      <c r="H73" s="15">
        <v>36.0</v>
      </c>
      <c r="I73" s="63">
        <f t="shared" si="5"/>
        <v>3922.107199</v>
      </c>
      <c r="K73" s="15">
        <v>36.0</v>
      </c>
      <c r="L73" s="63">
        <f t="shared" si="6"/>
        <v>2451.316999</v>
      </c>
      <c r="N73" s="15">
        <v>36.0</v>
      </c>
      <c r="O73" s="63">
        <f t="shared" si="7"/>
        <v>4167.238899</v>
      </c>
      <c r="Q73" s="15">
        <v>36.0</v>
      </c>
      <c r="R73" s="63">
        <f t="shared" si="8"/>
        <v>1470.7902</v>
      </c>
      <c r="T73" s="15">
        <v>36.0</v>
      </c>
      <c r="U73" s="63">
        <f t="shared" si="9"/>
        <v>4412.370599</v>
      </c>
      <c r="W73" s="15">
        <v>36.0</v>
      </c>
      <c r="X73" s="63">
        <f t="shared" si="10"/>
        <v>490.2633999</v>
      </c>
      <c r="Z73" s="15">
        <v>36.0</v>
      </c>
      <c r="AA73" s="63">
        <f t="shared" si="11"/>
        <v>245.1316999</v>
      </c>
      <c r="AC73" s="15">
        <v>36.0</v>
      </c>
      <c r="AD73" s="63">
        <f t="shared" si="12"/>
        <v>2451.316999</v>
      </c>
      <c r="AF73" s="15">
        <v>36.0</v>
      </c>
      <c r="AG73" s="63">
        <f t="shared" si="13"/>
        <v>2083.619449</v>
      </c>
    </row>
    <row r="74">
      <c r="B74" s="15">
        <v>37.0</v>
      </c>
      <c r="C74" s="19">
        <v>5000.0</v>
      </c>
      <c r="E74" s="15">
        <v>37.0</v>
      </c>
      <c r="F74" s="63">
        <f t="shared" si="4"/>
        <v>3601.300028</v>
      </c>
      <c r="H74" s="15">
        <v>37.0</v>
      </c>
      <c r="I74" s="63">
        <f t="shared" si="5"/>
        <v>3492.169724</v>
      </c>
      <c r="K74" s="15">
        <v>37.0</v>
      </c>
      <c r="L74" s="63">
        <f t="shared" si="6"/>
        <v>2182.606078</v>
      </c>
      <c r="N74" s="15">
        <v>37.0</v>
      </c>
      <c r="O74" s="63">
        <f t="shared" si="7"/>
        <v>3710.430332</v>
      </c>
      <c r="Q74" s="15">
        <v>37.0</v>
      </c>
      <c r="R74" s="63">
        <f t="shared" si="8"/>
        <v>1309.563647</v>
      </c>
      <c r="T74" s="15">
        <v>37.0</v>
      </c>
      <c r="U74" s="63">
        <f t="shared" si="9"/>
        <v>3928.69094</v>
      </c>
      <c r="W74" s="15">
        <v>37.0</v>
      </c>
      <c r="X74" s="63">
        <f t="shared" si="10"/>
        <v>436.5212155</v>
      </c>
      <c r="Z74" s="15">
        <v>37.0</v>
      </c>
      <c r="AA74" s="63">
        <f t="shared" si="11"/>
        <v>218.2606078</v>
      </c>
      <c r="AC74" s="15">
        <v>37.0</v>
      </c>
      <c r="AD74" s="63">
        <f t="shared" si="12"/>
        <v>2182.606078</v>
      </c>
      <c r="AF74" s="15">
        <v>37.0</v>
      </c>
      <c r="AG74" s="63">
        <f t="shared" si="13"/>
        <v>1855.215166</v>
      </c>
    </row>
    <row r="75">
      <c r="B75" s="15">
        <v>38.0</v>
      </c>
      <c r="C75" s="19">
        <v>4500.0</v>
      </c>
      <c r="E75" s="15">
        <v>38.0</v>
      </c>
      <c r="F75" s="63">
        <f t="shared" si="4"/>
        <v>3462.621356</v>
      </c>
      <c r="H75" s="15">
        <v>38.0</v>
      </c>
      <c r="I75" s="63">
        <f t="shared" si="5"/>
        <v>3357.693436</v>
      </c>
      <c r="K75" s="15">
        <v>38.0</v>
      </c>
      <c r="L75" s="63">
        <f t="shared" si="6"/>
        <v>2098.558398</v>
      </c>
      <c r="N75" s="15">
        <v>38.0</v>
      </c>
      <c r="O75" s="63">
        <f t="shared" si="7"/>
        <v>3567.549276</v>
      </c>
      <c r="Q75" s="15">
        <v>38.0</v>
      </c>
      <c r="R75" s="63">
        <f t="shared" si="8"/>
        <v>1259.135039</v>
      </c>
      <c r="T75" s="15">
        <v>38.0</v>
      </c>
      <c r="U75" s="63">
        <f t="shared" si="9"/>
        <v>3777.405116</v>
      </c>
      <c r="W75" s="15">
        <v>38.0</v>
      </c>
      <c r="X75" s="63">
        <f t="shared" si="10"/>
        <v>419.7116795</v>
      </c>
      <c r="Z75" s="15">
        <v>38.0</v>
      </c>
      <c r="AA75" s="63">
        <f t="shared" si="11"/>
        <v>209.8558398</v>
      </c>
      <c r="AC75" s="15">
        <v>38.0</v>
      </c>
      <c r="AD75" s="63">
        <f t="shared" si="12"/>
        <v>2098.558398</v>
      </c>
      <c r="AF75" s="15">
        <v>38.0</v>
      </c>
      <c r="AG75" s="63">
        <f t="shared" si="13"/>
        <v>1783.774638</v>
      </c>
    </row>
    <row r="76">
      <c r="B76" s="15">
        <v>39.0</v>
      </c>
      <c r="C76" s="19">
        <v>4000.0</v>
      </c>
      <c r="E76" s="15">
        <v>39.0</v>
      </c>
      <c r="F76" s="63">
        <f t="shared" si="4"/>
        <v>3173.423648</v>
      </c>
      <c r="H76" s="15">
        <v>39.0</v>
      </c>
      <c r="I76" s="63">
        <f t="shared" si="5"/>
        <v>3077.259295</v>
      </c>
      <c r="K76" s="15">
        <v>39.0</v>
      </c>
      <c r="L76" s="63">
        <f t="shared" si="6"/>
        <v>1923.28706</v>
      </c>
      <c r="N76" s="15">
        <v>39.0</v>
      </c>
      <c r="O76" s="63">
        <f t="shared" si="7"/>
        <v>3269.588001</v>
      </c>
      <c r="Q76" s="15">
        <v>39.0</v>
      </c>
      <c r="R76" s="63">
        <f t="shared" si="8"/>
        <v>1153.972236</v>
      </c>
      <c r="T76" s="15">
        <v>39.0</v>
      </c>
      <c r="U76" s="63">
        <f t="shared" si="9"/>
        <v>3461.916707</v>
      </c>
      <c r="W76" s="15">
        <v>39.0</v>
      </c>
      <c r="X76" s="63">
        <f t="shared" si="10"/>
        <v>384.6574119</v>
      </c>
      <c r="Z76" s="15">
        <v>39.0</v>
      </c>
      <c r="AA76" s="63">
        <f t="shared" si="11"/>
        <v>192.328706</v>
      </c>
      <c r="AC76" s="15">
        <v>39.0</v>
      </c>
      <c r="AD76" s="63">
        <f t="shared" si="12"/>
        <v>1923.28706</v>
      </c>
      <c r="AF76" s="15">
        <v>39.0</v>
      </c>
      <c r="AG76" s="63">
        <f t="shared" si="13"/>
        <v>1634.794001</v>
      </c>
    </row>
    <row r="77">
      <c r="B77" s="15">
        <v>40.0</v>
      </c>
      <c r="C77" s="19">
        <v>2500.0</v>
      </c>
      <c r="E77" s="15">
        <v>40.0</v>
      </c>
      <c r="F77" s="63">
        <f t="shared" si="4"/>
        <v>2630.907051</v>
      </c>
      <c r="H77" s="15">
        <v>40.0</v>
      </c>
      <c r="I77" s="63">
        <f t="shared" si="5"/>
        <v>2551.182595</v>
      </c>
      <c r="K77" s="15">
        <v>40.0</v>
      </c>
      <c r="L77" s="63">
        <f t="shared" si="6"/>
        <v>1594.489122</v>
      </c>
      <c r="N77" s="15">
        <v>40.0</v>
      </c>
      <c r="O77" s="63">
        <f t="shared" si="7"/>
        <v>2710.631507</v>
      </c>
      <c r="Q77" s="15">
        <v>40.0</v>
      </c>
      <c r="R77" s="63">
        <f t="shared" si="8"/>
        <v>956.6934732</v>
      </c>
      <c r="T77" s="15">
        <v>40.0</v>
      </c>
      <c r="U77" s="63">
        <f t="shared" si="9"/>
        <v>2870.08042</v>
      </c>
      <c r="W77" s="15">
        <v>40.0</v>
      </c>
      <c r="X77" s="63">
        <f t="shared" si="10"/>
        <v>318.8978244</v>
      </c>
      <c r="Z77" s="15">
        <v>40.0</v>
      </c>
      <c r="AA77" s="63">
        <f t="shared" si="11"/>
        <v>159.4489122</v>
      </c>
      <c r="AC77" s="15">
        <v>40.0</v>
      </c>
      <c r="AD77" s="63">
        <f t="shared" si="12"/>
        <v>1594.489122</v>
      </c>
      <c r="AF77" s="15">
        <v>40.0</v>
      </c>
      <c r="AG77" s="63">
        <f t="shared" si="13"/>
        <v>1355.315754</v>
      </c>
    </row>
    <row r="78">
      <c r="B78" s="15">
        <v>41.0</v>
      </c>
      <c r="C78" s="19">
        <v>2500.0</v>
      </c>
      <c r="E78" s="15">
        <v>41.0</v>
      </c>
      <c r="F78" s="63">
        <f t="shared" si="4"/>
        <v>2340.6146</v>
      </c>
      <c r="H78" s="15">
        <v>41.0</v>
      </c>
      <c r="I78" s="63">
        <f t="shared" si="5"/>
        <v>2269.686885</v>
      </c>
      <c r="K78" s="15">
        <v>41.0</v>
      </c>
      <c r="L78" s="63">
        <f t="shared" si="6"/>
        <v>1418.554303</v>
      </c>
      <c r="N78" s="15">
        <v>41.0</v>
      </c>
      <c r="O78" s="63">
        <f t="shared" si="7"/>
        <v>2411.542316</v>
      </c>
      <c r="Q78" s="15">
        <v>41.0</v>
      </c>
      <c r="R78" s="63">
        <f t="shared" si="8"/>
        <v>851.132582</v>
      </c>
      <c r="T78" s="15">
        <v>41.0</v>
      </c>
      <c r="U78" s="63">
        <f t="shared" si="9"/>
        <v>2553.397746</v>
      </c>
      <c r="W78" s="15">
        <v>41.0</v>
      </c>
      <c r="X78" s="63">
        <f t="shared" si="10"/>
        <v>283.7108607</v>
      </c>
      <c r="Z78" s="15">
        <v>41.0</v>
      </c>
      <c r="AA78" s="63">
        <f t="shared" si="11"/>
        <v>141.8554303</v>
      </c>
      <c r="AC78" s="15">
        <v>41.0</v>
      </c>
      <c r="AD78" s="63">
        <f t="shared" si="12"/>
        <v>1418.554303</v>
      </c>
      <c r="AF78" s="15">
        <v>41.0</v>
      </c>
      <c r="AG78" s="63">
        <f t="shared" si="13"/>
        <v>1205.771158</v>
      </c>
    </row>
    <row r="79">
      <c r="B79" s="15">
        <v>42.0</v>
      </c>
      <c r="C79" s="19">
        <v>1500.0</v>
      </c>
      <c r="E79" s="15">
        <v>42.0</v>
      </c>
      <c r="F79" s="63">
        <f t="shared" si="4"/>
        <v>1734.568719</v>
      </c>
      <c r="H79" s="15">
        <v>42.0</v>
      </c>
      <c r="I79" s="63">
        <f t="shared" si="5"/>
        <v>1682.00603</v>
      </c>
      <c r="K79" s="15">
        <v>42.0</v>
      </c>
      <c r="L79" s="63">
        <f t="shared" si="6"/>
        <v>1051.253769</v>
      </c>
      <c r="N79" s="15">
        <v>42.0</v>
      </c>
      <c r="O79" s="63">
        <f t="shared" si="7"/>
        <v>1787.131407</v>
      </c>
      <c r="Q79" s="15">
        <v>42.0</v>
      </c>
      <c r="R79" s="63">
        <f t="shared" si="8"/>
        <v>630.7522613</v>
      </c>
      <c r="T79" s="15">
        <v>42.0</v>
      </c>
      <c r="U79" s="63">
        <f t="shared" si="9"/>
        <v>1892.256784</v>
      </c>
      <c r="W79" s="15">
        <v>42.0</v>
      </c>
      <c r="X79" s="63">
        <f t="shared" si="10"/>
        <v>210.2507538</v>
      </c>
      <c r="Z79" s="15">
        <v>42.0</v>
      </c>
      <c r="AA79" s="63">
        <f t="shared" si="11"/>
        <v>105.1253769</v>
      </c>
      <c r="AC79" s="15">
        <v>42.0</v>
      </c>
      <c r="AD79" s="63">
        <f t="shared" si="12"/>
        <v>1051.253769</v>
      </c>
      <c r="AF79" s="15">
        <v>42.0</v>
      </c>
      <c r="AG79" s="63">
        <f t="shared" si="13"/>
        <v>893.5657035</v>
      </c>
    </row>
    <row r="80">
      <c r="B80" s="15">
        <v>43.0</v>
      </c>
      <c r="C80" s="19">
        <v>1500.0</v>
      </c>
      <c r="E80" s="15">
        <v>43.0</v>
      </c>
      <c r="F80" s="63">
        <f t="shared" si="4"/>
        <v>1431.463719</v>
      </c>
      <c r="H80" s="15">
        <v>43.0</v>
      </c>
      <c r="I80" s="63">
        <f t="shared" si="5"/>
        <v>1388.08603</v>
      </c>
      <c r="K80" s="15">
        <v>43.0</v>
      </c>
      <c r="L80" s="63">
        <f t="shared" si="6"/>
        <v>867.5537688</v>
      </c>
      <c r="N80" s="15">
        <v>43.0</v>
      </c>
      <c r="O80" s="63">
        <f t="shared" si="7"/>
        <v>1474.841407</v>
      </c>
      <c r="Q80" s="15">
        <v>43.0</v>
      </c>
      <c r="R80" s="63">
        <f t="shared" si="8"/>
        <v>520.5322613</v>
      </c>
      <c r="T80" s="15">
        <v>43.0</v>
      </c>
      <c r="U80" s="63">
        <f t="shared" si="9"/>
        <v>1561.596784</v>
      </c>
      <c r="W80" s="15">
        <v>43.0</v>
      </c>
      <c r="X80" s="63">
        <f t="shared" si="10"/>
        <v>173.5107538</v>
      </c>
      <c r="Z80" s="15">
        <v>43.0</v>
      </c>
      <c r="AA80" s="63">
        <f t="shared" si="11"/>
        <v>86.75537688</v>
      </c>
      <c r="AC80" s="15">
        <v>43.0</v>
      </c>
      <c r="AD80" s="63">
        <f t="shared" si="12"/>
        <v>867.5537688</v>
      </c>
      <c r="AF80" s="15">
        <v>43.0</v>
      </c>
      <c r="AG80" s="63">
        <f t="shared" si="13"/>
        <v>737.4207035</v>
      </c>
    </row>
    <row r="81">
      <c r="B81" s="15">
        <v>44.0</v>
      </c>
      <c r="C81" s="19">
        <v>1500.0</v>
      </c>
      <c r="E81" s="15">
        <v>44.0</v>
      </c>
      <c r="F81" s="63">
        <f t="shared" si="4"/>
        <v>844.2668593</v>
      </c>
      <c r="H81" s="15">
        <v>44.0</v>
      </c>
      <c r="I81" s="63">
        <f t="shared" si="5"/>
        <v>818.6830151</v>
      </c>
      <c r="K81" s="15">
        <v>44.0</v>
      </c>
      <c r="L81" s="63">
        <f t="shared" si="6"/>
        <v>511.6768844</v>
      </c>
      <c r="N81" s="15">
        <v>44.0</v>
      </c>
      <c r="O81" s="63">
        <f t="shared" si="7"/>
        <v>869.8507035</v>
      </c>
      <c r="Q81" s="15">
        <v>44.0</v>
      </c>
      <c r="R81" s="63">
        <f t="shared" si="8"/>
        <v>307.0061307</v>
      </c>
      <c r="T81" s="15">
        <v>44.0</v>
      </c>
      <c r="U81" s="63">
        <f t="shared" si="9"/>
        <v>921.018392</v>
      </c>
      <c r="W81" s="15">
        <v>44.0</v>
      </c>
      <c r="X81" s="63">
        <f t="shared" si="10"/>
        <v>102.3353769</v>
      </c>
      <c r="Z81" s="15">
        <v>44.0</v>
      </c>
      <c r="AA81" s="63">
        <f t="shared" si="11"/>
        <v>51.16768844</v>
      </c>
      <c r="AC81" s="15">
        <v>44.0</v>
      </c>
      <c r="AD81" s="63">
        <f t="shared" si="12"/>
        <v>511.6768844</v>
      </c>
      <c r="AF81" s="15">
        <v>44.0</v>
      </c>
      <c r="AG81" s="63">
        <f t="shared" si="13"/>
        <v>434.9253518</v>
      </c>
    </row>
    <row r="82">
      <c r="B82" s="15">
        <v>45.0</v>
      </c>
      <c r="C82" s="16"/>
      <c r="E82" s="15">
        <v>45.0</v>
      </c>
      <c r="F82" s="63">
        <f t="shared" si="4"/>
        <v>234.795</v>
      </c>
      <c r="H82" s="15">
        <v>45.0</v>
      </c>
      <c r="I82" s="63">
        <f t="shared" si="5"/>
        <v>227.68</v>
      </c>
      <c r="K82" s="15">
        <v>45.0</v>
      </c>
      <c r="L82" s="63">
        <f t="shared" si="6"/>
        <v>142.3</v>
      </c>
      <c r="N82" s="15">
        <v>45.0</v>
      </c>
      <c r="O82" s="63">
        <f t="shared" si="7"/>
        <v>241.91</v>
      </c>
      <c r="Q82" s="15">
        <v>45.0</v>
      </c>
      <c r="R82" s="63">
        <f t="shared" si="8"/>
        <v>85.38</v>
      </c>
      <c r="T82" s="15">
        <v>45.0</v>
      </c>
      <c r="U82" s="63">
        <f t="shared" si="9"/>
        <v>256.14</v>
      </c>
      <c r="W82" s="15">
        <v>45.0</v>
      </c>
      <c r="X82" s="63">
        <f t="shared" si="10"/>
        <v>28.46</v>
      </c>
      <c r="Z82" s="15">
        <v>45.0</v>
      </c>
      <c r="AA82" s="63">
        <f t="shared" si="11"/>
        <v>14.23</v>
      </c>
      <c r="AC82" s="15">
        <v>45.0</v>
      </c>
      <c r="AD82" s="63">
        <f t="shared" si="12"/>
        <v>142.3</v>
      </c>
      <c r="AF82" s="15">
        <v>45.0</v>
      </c>
      <c r="AG82" s="63">
        <f t="shared" si="13"/>
        <v>120.955</v>
      </c>
    </row>
    <row r="83">
      <c r="B83" s="23">
        <v>46.0</v>
      </c>
      <c r="C83" s="24"/>
      <c r="E83" s="23">
        <v>46.0</v>
      </c>
      <c r="F83" s="64">
        <f t="shared" si="4"/>
        <v>148.5</v>
      </c>
      <c r="H83" s="23">
        <v>46.0</v>
      </c>
      <c r="I83" s="64">
        <f t="shared" si="5"/>
        <v>144</v>
      </c>
      <c r="K83" s="23">
        <v>46.0</v>
      </c>
      <c r="L83" s="64">
        <f t="shared" si="6"/>
        <v>90</v>
      </c>
      <c r="N83" s="23">
        <v>46.0</v>
      </c>
      <c r="O83" s="64">
        <f t="shared" si="7"/>
        <v>153</v>
      </c>
      <c r="Q83" s="23">
        <v>46.0</v>
      </c>
      <c r="R83" s="64">
        <f t="shared" si="8"/>
        <v>54</v>
      </c>
      <c r="T83" s="23">
        <v>46.0</v>
      </c>
      <c r="U83" s="64">
        <f t="shared" si="9"/>
        <v>162</v>
      </c>
      <c r="W83" s="23">
        <v>46.0</v>
      </c>
      <c r="X83" s="64">
        <f t="shared" si="10"/>
        <v>18</v>
      </c>
      <c r="Z83" s="23">
        <v>46.0</v>
      </c>
      <c r="AA83" s="64">
        <f t="shared" si="11"/>
        <v>9</v>
      </c>
      <c r="AC83" s="23">
        <v>46.0</v>
      </c>
      <c r="AD83" s="64">
        <f t="shared" si="12"/>
        <v>90</v>
      </c>
      <c r="AF83" s="23">
        <v>46.0</v>
      </c>
      <c r="AG83" s="64">
        <f t="shared" si="13"/>
        <v>76.5</v>
      </c>
    </row>
    <row r="84">
      <c r="B84" s="27" t="s">
        <v>7</v>
      </c>
      <c r="C84" s="28">
        <f>SUM(C51:C83)</f>
        <v>271500</v>
      </c>
      <c r="E84" s="27" t="s">
        <v>7</v>
      </c>
      <c r="F84" s="65">
        <f>SUM(F51:F83)</f>
        <v>99431.41188</v>
      </c>
      <c r="H84" s="27" t="s">
        <v>7</v>
      </c>
      <c r="I84" s="65">
        <f>SUM(I51:I83)</f>
        <v>96418.33879</v>
      </c>
      <c r="K84" s="27" t="s">
        <v>7</v>
      </c>
      <c r="L84" s="65">
        <f>SUM(L51:L83)</f>
        <v>60261.46174</v>
      </c>
      <c r="N84" s="27" t="s">
        <v>7</v>
      </c>
      <c r="O84" s="65">
        <f>SUM(O51:O83)</f>
        <v>102444.485</v>
      </c>
      <c r="Q84" s="27" t="s">
        <v>7</v>
      </c>
      <c r="R84" s="65">
        <f>SUM(R51:R83)</f>
        <v>36156.87705</v>
      </c>
      <c r="T84" s="27" t="s">
        <v>7</v>
      </c>
      <c r="U84" s="65">
        <f>SUM(U51:U83)</f>
        <v>108470.6311</v>
      </c>
      <c r="W84" s="27" t="s">
        <v>7</v>
      </c>
      <c r="X84" s="65">
        <f>SUM(X51:X83)</f>
        <v>12052.29235</v>
      </c>
      <c r="Z84" s="27" t="s">
        <v>7</v>
      </c>
      <c r="AA84" s="65">
        <f>SUM(AA51:AA83)</f>
        <v>6026.146174</v>
      </c>
      <c r="AC84" s="27" t="s">
        <v>7</v>
      </c>
      <c r="AD84" s="65">
        <f>SUM(AD51:AD83)</f>
        <v>60261.46174</v>
      </c>
      <c r="AF84" s="27" t="s">
        <v>7</v>
      </c>
      <c r="AG84" s="65">
        <f>SUM(AG51:AG83)</f>
        <v>51222.24248</v>
      </c>
    </row>
    <row r="88">
      <c r="B88" s="66" t="s">
        <v>30</v>
      </c>
      <c r="C88" s="67">
        <f>SUM(C84,F84,I84,L84,O84,R84,U84,X84,AA84,AD84,AG84)</f>
        <v>904245.3483</v>
      </c>
    </row>
    <row r="89">
      <c r="B89" s="66" t="s">
        <v>31</v>
      </c>
      <c r="C89" s="68">
        <f>AF40</f>
        <v>602614.6174</v>
      </c>
    </row>
    <row r="90">
      <c r="B90" s="66" t="s">
        <v>32</v>
      </c>
      <c r="C90" s="68">
        <f>C89-C88</f>
        <v>-301630.7309</v>
      </c>
    </row>
  </sheetData>
  <mergeCells count="21">
    <mergeCell ref="W5:X5"/>
    <mergeCell ref="Z5:AA5"/>
    <mergeCell ref="AE5:AF5"/>
    <mergeCell ref="B5:C5"/>
    <mergeCell ref="E5:F5"/>
    <mergeCell ref="H5:I5"/>
    <mergeCell ref="K5:L5"/>
    <mergeCell ref="N5:O5"/>
    <mergeCell ref="Q5:R5"/>
    <mergeCell ref="T5:U5"/>
    <mergeCell ref="W49:X49"/>
    <mergeCell ref="Z49:AA49"/>
    <mergeCell ref="AC49:AD49"/>
    <mergeCell ref="AF49:AG49"/>
    <mergeCell ref="B49:C49"/>
    <mergeCell ref="E49:F49"/>
    <mergeCell ref="H49:I49"/>
    <mergeCell ref="K49:L49"/>
    <mergeCell ref="N49:O49"/>
    <mergeCell ref="Q49:R49"/>
    <mergeCell ref="T49:U49"/>
  </mergeCells>
  <conditionalFormatting sqref="C90">
    <cfRule type="cellIs" dxfId="0" priority="1" operator="greaterThanOrEqual">
      <formula>0</formula>
    </cfRule>
  </conditionalFormatting>
  <conditionalFormatting sqref="C90">
    <cfRule type="cellIs" dxfId="2" priority="2" operator="lessThan">
      <formula>0</formula>
    </cfRule>
  </conditionalFormatting>
  <dataValidations>
    <dataValidation type="decimal" operator="greaterThanOrEqual" allowBlank="1" showDropDown="1" sqref="C90">
      <formula1>0.0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2" t="s">
        <v>1</v>
      </c>
      <c r="C5" s="3"/>
      <c r="E5" s="2" t="s">
        <v>5</v>
      </c>
      <c r="F5" s="3"/>
      <c r="H5" s="2" t="s">
        <v>2</v>
      </c>
      <c r="I5" s="3"/>
      <c r="K5" s="2" t="s">
        <v>3</v>
      </c>
      <c r="L5" s="3"/>
      <c r="N5" s="4" t="s">
        <v>23</v>
      </c>
      <c r="O5" s="3"/>
      <c r="U5" s="5" t="s">
        <v>7</v>
      </c>
      <c r="V5" s="3"/>
    </row>
    <row r="6">
      <c r="B6" s="6" t="s">
        <v>8</v>
      </c>
      <c r="C6" s="6" t="s">
        <v>9</v>
      </c>
      <c r="E6" s="6" t="s">
        <v>8</v>
      </c>
      <c r="F6" s="6" t="s">
        <v>9</v>
      </c>
      <c r="H6" s="6" t="s">
        <v>8</v>
      </c>
      <c r="I6" s="6" t="s">
        <v>9</v>
      </c>
      <c r="K6" s="6" t="s">
        <v>8</v>
      </c>
      <c r="L6" s="6" t="s">
        <v>9</v>
      </c>
      <c r="N6" s="7" t="s">
        <v>8</v>
      </c>
      <c r="O6" s="7" t="s">
        <v>9</v>
      </c>
      <c r="U6" s="6" t="s">
        <v>8</v>
      </c>
      <c r="V6" s="9" t="s">
        <v>9</v>
      </c>
    </row>
    <row r="7">
      <c r="B7" s="10">
        <v>14.0</v>
      </c>
      <c r="C7" s="11"/>
      <c r="E7" s="10">
        <v>14.0</v>
      </c>
      <c r="F7" s="11"/>
      <c r="H7" s="10">
        <v>14.0</v>
      </c>
      <c r="I7" s="11"/>
      <c r="K7" s="10">
        <v>14.0</v>
      </c>
      <c r="L7" s="11"/>
      <c r="N7" s="13">
        <v>14.0</v>
      </c>
      <c r="O7" s="42"/>
      <c r="U7" s="10">
        <v>14.0</v>
      </c>
      <c r="V7" s="69">
        <f t="shared" ref="V7:V10" si="1">SUM(L7,I7,F7,C7)</f>
        <v>0</v>
      </c>
    </row>
    <row r="8">
      <c r="B8" s="15">
        <v>15.0</v>
      </c>
      <c r="C8" s="16"/>
      <c r="E8" s="15">
        <v>15.0</v>
      </c>
      <c r="F8" s="16"/>
      <c r="H8" s="15">
        <v>15.0</v>
      </c>
      <c r="I8" s="16"/>
      <c r="K8" s="15">
        <v>15.0</v>
      </c>
      <c r="L8" s="16"/>
      <c r="N8" s="17">
        <v>15.0</v>
      </c>
      <c r="O8" s="45"/>
      <c r="U8" s="15">
        <v>15.0</v>
      </c>
      <c r="V8" s="70">
        <f t="shared" si="1"/>
        <v>0</v>
      </c>
    </row>
    <row r="9">
      <c r="B9" s="15">
        <v>16.0</v>
      </c>
      <c r="C9" s="16"/>
      <c r="E9" s="15">
        <v>16.0</v>
      </c>
      <c r="F9" s="16"/>
      <c r="H9" s="15">
        <v>16.0</v>
      </c>
      <c r="I9" s="16"/>
      <c r="K9" s="15">
        <v>16.0</v>
      </c>
      <c r="L9" s="16"/>
      <c r="N9" s="17">
        <v>16.0</v>
      </c>
      <c r="O9" s="45"/>
      <c r="U9" s="15">
        <v>16.0</v>
      </c>
      <c r="V9" s="70">
        <f t="shared" si="1"/>
        <v>0</v>
      </c>
    </row>
    <row r="10">
      <c r="B10" s="15">
        <v>17.0</v>
      </c>
      <c r="C10" s="16"/>
      <c r="E10" s="15">
        <v>17.0</v>
      </c>
      <c r="F10" s="16"/>
      <c r="H10" s="15">
        <v>17.0</v>
      </c>
      <c r="I10" s="16"/>
      <c r="K10" s="15">
        <v>17.0</v>
      </c>
      <c r="L10" s="16"/>
      <c r="N10" s="17">
        <v>17.0</v>
      </c>
      <c r="O10" s="45"/>
      <c r="U10" s="15">
        <v>17.0</v>
      </c>
      <c r="V10" s="70">
        <f t="shared" si="1"/>
        <v>0</v>
      </c>
    </row>
    <row r="11">
      <c r="B11" s="15">
        <v>18.0</v>
      </c>
      <c r="C11" s="16"/>
      <c r="E11" s="15">
        <v>18.0</v>
      </c>
      <c r="F11" s="16"/>
      <c r="H11" s="15">
        <v>18.0</v>
      </c>
      <c r="I11" s="16"/>
      <c r="K11" s="15">
        <v>18.0</v>
      </c>
      <c r="L11" s="16"/>
      <c r="N11" s="17">
        <v>18.0</v>
      </c>
      <c r="O11" s="45"/>
      <c r="U11" s="15">
        <v>18.0</v>
      </c>
      <c r="V11" s="70">
        <f t="shared" ref="V11:V40" si="2">SUM(L11,I11,F11,C11,O11)</f>
        <v>0</v>
      </c>
    </row>
    <row r="12">
      <c r="B12" s="15">
        <v>19.0</v>
      </c>
      <c r="C12" s="16"/>
      <c r="E12" s="15">
        <v>19.0</v>
      </c>
      <c r="F12" s="16"/>
      <c r="H12" s="15">
        <v>19.0</v>
      </c>
      <c r="I12" s="16"/>
      <c r="K12" s="15">
        <v>19.0</v>
      </c>
      <c r="L12" s="16"/>
      <c r="N12" s="17">
        <v>19.0</v>
      </c>
      <c r="O12" s="45"/>
      <c r="U12" s="15">
        <v>19.0</v>
      </c>
      <c r="V12" s="70">
        <f t="shared" si="2"/>
        <v>0</v>
      </c>
    </row>
    <row r="13">
      <c r="B13" s="15">
        <v>20.0</v>
      </c>
      <c r="C13" s="16"/>
      <c r="E13" s="15">
        <v>20.0</v>
      </c>
      <c r="F13" s="16"/>
      <c r="H13" s="15">
        <v>20.0</v>
      </c>
      <c r="I13" s="16"/>
      <c r="K13" s="15">
        <v>20.0</v>
      </c>
      <c r="L13" s="16"/>
      <c r="N13" s="17">
        <v>20.0</v>
      </c>
      <c r="O13" s="45"/>
      <c r="U13" s="15">
        <v>20.0</v>
      </c>
      <c r="V13" s="70">
        <f t="shared" si="2"/>
        <v>0</v>
      </c>
    </row>
    <row r="14">
      <c r="B14" s="15">
        <v>21.0</v>
      </c>
      <c r="C14" s="16"/>
      <c r="E14" s="15">
        <v>21.0</v>
      </c>
      <c r="F14" s="16"/>
      <c r="H14" s="15">
        <v>21.0</v>
      </c>
      <c r="I14" s="16"/>
      <c r="K14" s="15">
        <v>21.0</v>
      </c>
      <c r="L14" s="16"/>
      <c r="N14" s="17">
        <v>21.0</v>
      </c>
      <c r="O14" s="45"/>
      <c r="U14" s="15">
        <v>21.0</v>
      </c>
      <c r="V14" s="70">
        <f t="shared" si="2"/>
        <v>0</v>
      </c>
    </row>
    <row r="15">
      <c r="B15" s="15">
        <v>22.0</v>
      </c>
      <c r="C15" s="16"/>
      <c r="E15" s="15">
        <v>22.0</v>
      </c>
      <c r="F15" s="16"/>
      <c r="H15" s="15">
        <v>22.0</v>
      </c>
      <c r="I15" s="16"/>
      <c r="K15" s="15">
        <v>22.0</v>
      </c>
      <c r="L15" s="16"/>
      <c r="N15" s="17">
        <v>22.0</v>
      </c>
      <c r="O15" s="45"/>
      <c r="U15" s="15">
        <v>22.0</v>
      </c>
      <c r="V15" s="70">
        <f t="shared" si="2"/>
        <v>0</v>
      </c>
    </row>
    <row r="16">
      <c r="B16" s="15">
        <v>23.0</v>
      </c>
      <c r="C16" s="16"/>
      <c r="E16" s="15">
        <v>23.0</v>
      </c>
      <c r="F16" s="16"/>
      <c r="H16" s="15">
        <v>23.0</v>
      </c>
      <c r="I16" s="16"/>
      <c r="K16" s="15">
        <v>23.0</v>
      </c>
      <c r="L16" s="16"/>
      <c r="N16" s="17">
        <v>23.0</v>
      </c>
      <c r="O16" s="45"/>
      <c r="U16" s="15">
        <v>23.0</v>
      </c>
      <c r="V16" s="70">
        <f t="shared" si="2"/>
        <v>0</v>
      </c>
    </row>
    <row r="17">
      <c r="B17" s="15">
        <v>24.0</v>
      </c>
      <c r="C17" s="16"/>
      <c r="E17" s="15">
        <v>24.0</v>
      </c>
      <c r="F17" s="16"/>
      <c r="H17" s="15">
        <v>24.0</v>
      </c>
      <c r="I17" s="16"/>
      <c r="K17" s="15">
        <v>24.0</v>
      </c>
      <c r="L17" s="16"/>
      <c r="N17" s="17">
        <v>24.0</v>
      </c>
      <c r="O17" s="45"/>
      <c r="U17" s="15">
        <v>24.0</v>
      </c>
      <c r="V17" s="70">
        <f t="shared" si="2"/>
        <v>0</v>
      </c>
    </row>
    <row r="18">
      <c r="B18" s="15">
        <v>25.0</v>
      </c>
      <c r="C18" s="16"/>
      <c r="E18" s="15">
        <v>25.0</v>
      </c>
      <c r="F18" s="16"/>
      <c r="H18" s="15">
        <v>25.0</v>
      </c>
      <c r="I18" s="16"/>
      <c r="K18" s="15">
        <v>25.0</v>
      </c>
      <c r="L18" s="16"/>
      <c r="N18" s="17">
        <v>25.0</v>
      </c>
      <c r="O18" s="45"/>
      <c r="U18" s="15">
        <v>25.0</v>
      </c>
      <c r="V18" s="70">
        <f t="shared" si="2"/>
        <v>0</v>
      </c>
    </row>
    <row r="19">
      <c r="B19" s="15">
        <v>26.0</v>
      </c>
      <c r="C19" s="16"/>
      <c r="E19" s="15">
        <v>26.0</v>
      </c>
      <c r="F19" s="16"/>
      <c r="H19" s="15">
        <v>26.0</v>
      </c>
      <c r="I19" s="19">
        <v>200.0</v>
      </c>
      <c r="J19" s="20"/>
      <c r="K19" s="15">
        <v>26.0</v>
      </c>
      <c r="L19" s="19">
        <v>200.0</v>
      </c>
      <c r="N19" s="17">
        <v>26.0</v>
      </c>
      <c r="O19" s="45"/>
      <c r="U19" s="15">
        <v>26.0</v>
      </c>
      <c r="V19" s="71">
        <f t="shared" si="2"/>
        <v>400</v>
      </c>
    </row>
    <row r="20">
      <c r="B20" s="15">
        <v>27.0</v>
      </c>
      <c r="C20" s="16"/>
      <c r="E20" s="15">
        <v>27.0</v>
      </c>
      <c r="F20" s="16"/>
      <c r="H20" s="15">
        <v>27.0</v>
      </c>
      <c r="I20" s="19">
        <v>600.0</v>
      </c>
      <c r="J20" s="20"/>
      <c r="K20" s="15">
        <v>27.0</v>
      </c>
      <c r="L20" s="19">
        <v>600.0</v>
      </c>
      <c r="N20" s="17">
        <v>27.0</v>
      </c>
      <c r="O20" s="49">
        <v>282.6</v>
      </c>
      <c r="U20" s="15">
        <v>27.0</v>
      </c>
      <c r="V20" s="71">
        <f t="shared" si="2"/>
        <v>1482.6</v>
      </c>
    </row>
    <row r="21">
      <c r="B21" s="15">
        <v>28.0</v>
      </c>
      <c r="C21" s="16"/>
      <c r="E21" s="15">
        <v>28.0</v>
      </c>
      <c r="F21" s="16"/>
      <c r="H21" s="15">
        <v>28.0</v>
      </c>
      <c r="I21" s="19">
        <v>800.0</v>
      </c>
      <c r="J21" s="20"/>
      <c r="K21" s="15">
        <v>28.0</v>
      </c>
      <c r="L21" s="19">
        <v>800.0</v>
      </c>
      <c r="N21" s="17">
        <v>28.0</v>
      </c>
      <c r="O21" s="49">
        <v>1170.3375</v>
      </c>
      <c r="U21" s="15">
        <v>28.0</v>
      </c>
      <c r="V21" s="71">
        <f t="shared" si="2"/>
        <v>2770.3375</v>
      </c>
    </row>
    <row r="22">
      <c r="B22" s="15">
        <v>29.0</v>
      </c>
      <c r="C22" s="16"/>
      <c r="E22" s="15">
        <v>29.0</v>
      </c>
      <c r="F22" s="16"/>
      <c r="H22" s="15">
        <v>29.0</v>
      </c>
      <c r="I22" s="19">
        <v>1000.0</v>
      </c>
      <c r="J22" s="20"/>
      <c r="K22" s="15">
        <v>29.0</v>
      </c>
      <c r="L22" s="19">
        <v>1100.0</v>
      </c>
      <c r="N22" s="17">
        <v>29.0</v>
      </c>
      <c r="O22" s="49">
        <v>3242.3625</v>
      </c>
      <c r="U22" s="15">
        <v>29.0</v>
      </c>
      <c r="V22" s="71">
        <f t="shared" si="2"/>
        <v>5342.3625</v>
      </c>
    </row>
    <row r="23">
      <c r="B23" s="15">
        <v>30.0</v>
      </c>
      <c r="C23" s="19">
        <v>200.0</v>
      </c>
      <c r="E23" s="15">
        <v>30.0</v>
      </c>
      <c r="F23" s="16"/>
      <c r="H23" s="15">
        <v>30.0</v>
      </c>
      <c r="I23" s="19">
        <v>800.0</v>
      </c>
      <c r="J23" s="20"/>
      <c r="K23" s="15">
        <v>30.0</v>
      </c>
      <c r="L23" s="19">
        <v>900.0</v>
      </c>
      <c r="N23" s="17">
        <v>30.0</v>
      </c>
      <c r="O23" s="49">
        <v>6296.175</v>
      </c>
      <c r="U23" s="15">
        <v>30.0</v>
      </c>
      <c r="V23" s="71">
        <f t="shared" si="2"/>
        <v>8196.175</v>
      </c>
    </row>
    <row r="24">
      <c r="B24" s="15">
        <v>31.0</v>
      </c>
      <c r="C24" s="19">
        <v>500.0</v>
      </c>
      <c r="E24" s="15">
        <v>31.0</v>
      </c>
      <c r="F24" s="16"/>
      <c r="H24" s="15">
        <v>31.0</v>
      </c>
      <c r="I24" s="19">
        <v>800.0</v>
      </c>
      <c r="J24" s="20"/>
      <c r="K24" s="15">
        <v>31.0</v>
      </c>
      <c r="L24" s="19">
        <v>900.0</v>
      </c>
      <c r="N24" s="17">
        <v>31.0</v>
      </c>
      <c r="O24" s="49">
        <v>6830.212500000001</v>
      </c>
      <c r="U24" s="15">
        <v>31.0</v>
      </c>
      <c r="V24" s="71">
        <f t="shared" si="2"/>
        <v>9030.2125</v>
      </c>
    </row>
    <row r="25">
      <c r="B25" s="15">
        <v>32.0</v>
      </c>
      <c r="C25" s="19">
        <v>900.0</v>
      </c>
      <c r="E25" s="15">
        <v>32.0</v>
      </c>
      <c r="F25" s="16"/>
      <c r="H25" s="15">
        <v>32.0</v>
      </c>
      <c r="I25" s="19">
        <v>500.0</v>
      </c>
      <c r="J25" s="20"/>
      <c r="K25" s="15">
        <v>32.0</v>
      </c>
      <c r="L25" s="19">
        <v>500.0</v>
      </c>
      <c r="N25" s="17">
        <v>32.0</v>
      </c>
      <c r="O25" s="49">
        <v>5015.587500000001</v>
      </c>
      <c r="U25" s="15">
        <v>32.0</v>
      </c>
      <c r="V25" s="71">
        <f t="shared" si="2"/>
        <v>6915.5875</v>
      </c>
    </row>
    <row r="26">
      <c r="B26" s="15">
        <v>33.0</v>
      </c>
      <c r="C26" s="19">
        <v>1100.0</v>
      </c>
      <c r="E26" s="15">
        <v>33.0</v>
      </c>
      <c r="F26" s="16"/>
      <c r="H26" s="15">
        <v>33.0</v>
      </c>
      <c r="I26" s="19">
        <v>200.0</v>
      </c>
      <c r="J26" s="20"/>
      <c r="K26" s="15">
        <v>33.0</v>
      </c>
      <c r="L26" s="19">
        <v>300.0</v>
      </c>
      <c r="N26" s="17">
        <v>33.0</v>
      </c>
      <c r="O26" s="49">
        <v>4537.6875</v>
      </c>
      <c r="U26" s="15">
        <v>33.0</v>
      </c>
      <c r="V26" s="71">
        <f t="shared" si="2"/>
        <v>6137.6875</v>
      </c>
    </row>
    <row r="27">
      <c r="B27" s="15">
        <v>34.0</v>
      </c>
      <c r="C27" s="19">
        <v>950.0</v>
      </c>
      <c r="E27" s="15">
        <v>34.0</v>
      </c>
      <c r="F27" s="16"/>
      <c r="H27" s="15">
        <v>34.0</v>
      </c>
      <c r="I27" s="19">
        <v>100.0</v>
      </c>
      <c r="J27" s="20"/>
      <c r="K27" s="15">
        <v>34.0</v>
      </c>
      <c r="L27" s="19">
        <v>155.0</v>
      </c>
      <c r="N27" s="17">
        <v>34.0</v>
      </c>
      <c r="O27" s="49">
        <v>2642.9625</v>
      </c>
      <c r="U27" s="15">
        <v>34.0</v>
      </c>
      <c r="V27" s="71">
        <f t="shared" si="2"/>
        <v>3847.9625</v>
      </c>
    </row>
    <row r="28">
      <c r="B28" s="15">
        <v>35.0</v>
      </c>
      <c r="C28" s="19">
        <v>950.0</v>
      </c>
      <c r="E28" s="15">
        <v>35.0</v>
      </c>
      <c r="F28" s="16"/>
      <c r="H28" s="15">
        <v>35.0</v>
      </c>
      <c r="I28" s="19">
        <v>100.0</v>
      </c>
      <c r="J28" s="20"/>
      <c r="K28" s="15">
        <v>35.0</v>
      </c>
      <c r="L28" s="19">
        <v>100.0</v>
      </c>
      <c r="N28" s="17">
        <v>35.0</v>
      </c>
      <c r="O28" s="49">
        <v>632.1375</v>
      </c>
      <c r="U28" s="15">
        <v>35.0</v>
      </c>
      <c r="V28" s="71">
        <f t="shared" si="2"/>
        <v>1782.1375</v>
      </c>
    </row>
    <row r="29">
      <c r="B29" s="15">
        <v>36.0</v>
      </c>
      <c r="C29" s="19">
        <v>550.0</v>
      </c>
      <c r="E29" s="15">
        <v>36.0</v>
      </c>
      <c r="F29" s="16"/>
      <c r="H29" s="15">
        <v>36.0</v>
      </c>
      <c r="I29" s="16"/>
      <c r="K29" s="15">
        <v>36.0</v>
      </c>
      <c r="L29" s="16"/>
      <c r="N29" s="17">
        <v>36.0</v>
      </c>
      <c r="O29" s="49">
        <v>250.65</v>
      </c>
      <c r="U29" s="15">
        <v>36.0</v>
      </c>
      <c r="V29" s="71">
        <f t="shared" si="2"/>
        <v>800.65</v>
      </c>
    </row>
    <row r="30">
      <c r="B30" s="15">
        <v>37.0</v>
      </c>
      <c r="C30" s="19">
        <v>350.0</v>
      </c>
      <c r="E30" s="15">
        <v>37.0</v>
      </c>
      <c r="F30" s="16"/>
      <c r="H30" s="15">
        <v>37.0</v>
      </c>
      <c r="I30" s="16"/>
      <c r="K30" s="15">
        <v>37.0</v>
      </c>
      <c r="L30" s="16"/>
      <c r="N30" s="17">
        <v>37.0</v>
      </c>
      <c r="O30" s="45"/>
      <c r="U30" s="15">
        <v>37.0</v>
      </c>
      <c r="V30" s="70">
        <f t="shared" si="2"/>
        <v>350</v>
      </c>
    </row>
    <row r="31">
      <c r="B31" s="15">
        <v>38.0</v>
      </c>
      <c r="C31" s="19">
        <v>150.0</v>
      </c>
      <c r="E31" s="15">
        <v>38.0</v>
      </c>
      <c r="F31" s="16"/>
      <c r="H31" s="15">
        <v>38.0</v>
      </c>
      <c r="I31" s="16"/>
      <c r="K31" s="15">
        <v>38.0</v>
      </c>
      <c r="L31" s="16"/>
      <c r="N31" s="17">
        <v>38.0</v>
      </c>
      <c r="O31" s="45"/>
      <c r="U31" s="15">
        <v>38.0</v>
      </c>
      <c r="V31" s="70">
        <f t="shared" si="2"/>
        <v>150</v>
      </c>
    </row>
    <row r="32">
      <c r="B32" s="15">
        <v>39.0</v>
      </c>
      <c r="C32" s="19">
        <v>100.0</v>
      </c>
      <c r="E32" s="15">
        <v>39.0</v>
      </c>
      <c r="F32" s="16"/>
      <c r="H32" s="15">
        <v>39.0</v>
      </c>
      <c r="I32" s="16"/>
      <c r="K32" s="15">
        <v>39.0</v>
      </c>
      <c r="L32" s="16"/>
      <c r="N32" s="17">
        <v>39.0</v>
      </c>
      <c r="O32" s="45"/>
      <c r="U32" s="15">
        <v>39.0</v>
      </c>
      <c r="V32" s="70">
        <f t="shared" si="2"/>
        <v>100</v>
      </c>
    </row>
    <row r="33">
      <c r="B33" s="15">
        <v>40.0</v>
      </c>
      <c r="C33" s="16"/>
      <c r="E33" s="15">
        <v>40.0</v>
      </c>
      <c r="F33" s="16"/>
      <c r="H33" s="15">
        <v>40.0</v>
      </c>
      <c r="I33" s="16"/>
      <c r="K33" s="15">
        <v>40.0</v>
      </c>
      <c r="L33" s="16"/>
      <c r="N33" s="17">
        <v>40.0</v>
      </c>
      <c r="O33" s="45"/>
      <c r="U33" s="15">
        <v>40.0</v>
      </c>
      <c r="V33" s="70">
        <f t="shared" si="2"/>
        <v>0</v>
      </c>
    </row>
    <row r="34">
      <c r="B34" s="15">
        <v>41.0</v>
      </c>
      <c r="C34" s="16"/>
      <c r="E34" s="15">
        <v>41.0</v>
      </c>
      <c r="F34" s="16"/>
      <c r="H34" s="15">
        <v>41.0</v>
      </c>
      <c r="I34" s="16"/>
      <c r="K34" s="15">
        <v>41.0</v>
      </c>
      <c r="L34" s="16"/>
      <c r="N34" s="17">
        <v>41.0</v>
      </c>
      <c r="O34" s="45"/>
      <c r="U34" s="15">
        <v>41.0</v>
      </c>
      <c r="V34" s="70">
        <f t="shared" si="2"/>
        <v>0</v>
      </c>
    </row>
    <row r="35">
      <c r="B35" s="15">
        <v>42.0</v>
      </c>
      <c r="C35" s="16"/>
      <c r="E35" s="15">
        <v>42.0</v>
      </c>
      <c r="F35" s="16"/>
      <c r="H35" s="15">
        <v>42.0</v>
      </c>
      <c r="I35" s="16"/>
      <c r="K35" s="15">
        <v>42.0</v>
      </c>
      <c r="L35" s="16"/>
      <c r="N35" s="17">
        <v>42.0</v>
      </c>
      <c r="O35" s="45"/>
      <c r="U35" s="15">
        <v>42.0</v>
      </c>
      <c r="V35" s="70">
        <f t="shared" si="2"/>
        <v>0</v>
      </c>
    </row>
    <row r="36">
      <c r="B36" s="15">
        <v>43.0</v>
      </c>
      <c r="C36" s="16"/>
      <c r="E36" s="15">
        <v>43.0</v>
      </c>
      <c r="F36" s="16"/>
      <c r="H36" s="15">
        <v>43.0</v>
      </c>
      <c r="I36" s="16"/>
      <c r="K36" s="15">
        <v>43.0</v>
      </c>
      <c r="L36" s="16"/>
      <c r="N36" s="17">
        <v>43.0</v>
      </c>
      <c r="O36" s="45"/>
      <c r="U36" s="15">
        <v>43.0</v>
      </c>
      <c r="V36" s="70">
        <f t="shared" si="2"/>
        <v>0</v>
      </c>
    </row>
    <row r="37">
      <c r="B37" s="15">
        <v>44.0</v>
      </c>
      <c r="C37" s="16"/>
      <c r="E37" s="15">
        <v>44.0</v>
      </c>
      <c r="F37" s="16"/>
      <c r="H37" s="15">
        <v>44.0</v>
      </c>
      <c r="I37" s="16"/>
      <c r="K37" s="15">
        <v>44.0</v>
      </c>
      <c r="L37" s="16"/>
      <c r="N37" s="17">
        <v>44.0</v>
      </c>
      <c r="O37" s="45"/>
      <c r="U37" s="15">
        <v>44.0</v>
      </c>
      <c r="V37" s="70">
        <f t="shared" si="2"/>
        <v>0</v>
      </c>
    </row>
    <row r="38">
      <c r="B38" s="15">
        <v>45.0</v>
      </c>
      <c r="C38" s="16"/>
      <c r="E38" s="15">
        <v>45.0</v>
      </c>
      <c r="F38" s="16"/>
      <c r="H38" s="15">
        <v>45.0</v>
      </c>
      <c r="I38" s="16"/>
      <c r="K38" s="15">
        <v>45.0</v>
      </c>
      <c r="L38" s="16"/>
      <c r="N38" s="17">
        <v>45.0</v>
      </c>
      <c r="O38" s="45"/>
      <c r="U38" s="15">
        <v>45.0</v>
      </c>
      <c r="V38" s="70">
        <f t="shared" si="2"/>
        <v>0</v>
      </c>
    </row>
    <row r="39">
      <c r="B39" s="23">
        <v>46.0</v>
      </c>
      <c r="C39" s="24"/>
      <c r="E39" s="23">
        <v>46.0</v>
      </c>
      <c r="F39" s="24"/>
      <c r="H39" s="23">
        <v>46.0</v>
      </c>
      <c r="I39" s="24"/>
      <c r="K39" s="23">
        <v>46.0</v>
      </c>
      <c r="L39" s="24"/>
      <c r="N39" s="25">
        <v>46.0</v>
      </c>
      <c r="O39" s="72"/>
      <c r="U39" s="23">
        <v>46.0</v>
      </c>
      <c r="V39" s="70">
        <f t="shared" si="2"/>
        <v>0</v>
      </c>
    </row>
    <row r="40">
      <c r="B40" s="27" t="s">
        <v>7</v>
      </c>
      <c r="C40" s="28">
        <f>SUM(C7:C39)</f>
        <v>5750</v>
      </c>
      <c r="E40" s="27" t="s">
        <v>7</v>
      </c>
      <c r="F40" s="28">
        <f>SUM(F7:F39)</f>
        <v>0</v>
      </c>
      <c r="H40" s="27" t="s">
        <v>7</v>
      </c>
      <c r="I40" s="28">
        <f>SUM(I7:I39)</f>
        <v>5100</v>
      </c>
      <c r="K40" s="27" t="s">
        <v>7</v>
      </c>
      <c r="L40" s="28">
        <f>SUM(L7:L39)</f>
        <v>5555</v>
      </c>
      <c r="N40" s="29" t="s">
        <v>7</v>
      </c>
      <c r="O40" s="58">
        <f>SUM(O7:O39)</f>
        <v>30900.7125</v>
      </c>
      <c r="U40" s="27" t="s">
        <v>7</v>
      </c>
      <c r="V40" s="73">
        <f t="shared" si="2"/>
        <v>47305.7125</v>
      </c>
    </row>
  </sheetData>
  <mergeCells count="6">
    <mergeCell ref="B5:C5"/>
    <mergeCell ref="E5:F5"/>
    <mergeCell ref="H5:I5"/>
    <mergeCell ref="K5:L5"/>
    <mergeCell ref="N5:O5"/>
    <mergeCell ref="U5:V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2" t="s">
        <v>2</v>
      </c>
      <c r="C5" s="3"/>
    </row>
    <row r="6">
      <c r="B6" s="6" t="s">
        <v>8</v>
      </c>
      <c r="C6" s="6" t="s">
        <v>9</v>
      </c>
    </row>
    <row r="7">
      <c r="B7" s="10">
        <v>14.0</v>
      </c>
      <c r="C7" s="11"/>
    </row>
    <row r="8">
      <c r="B8" s="15">
        <v>15.0</v>
      </c>
      <c r="C8" s="16"/>
    </row>
    <row r="9">
      <c r="B9" s="15">
        <v>16.0</v>
      </c>
      <c r="C9" s="16"/>
    </row>
    <row r="10">
      <c r="B10" s="15">
        <v>17.0</v>
      </c>
      <c r="C10" s="16"/>
    </row>
    <row r="11">
      <c r="B11" s="15">
        <v>18.0</v>
      </c>
      <c r="C11" s="16"/>
    </row>
    <row r="12">
      <c r="B12" s="15">
        <v>19.0</v>
      </c>
      <c r="C12" s="16"/>
    </row>
    <row r="13">
      <c r="B13" s="15">
        <v>20.0</v>
      </c>
      <c r="C13" s="16"/>
    </row>
    <row r="14">
      <c r="B14" s="15">
        <v>21.0</v>
      </c>
      <c r="C14" s="16"/>
    </row>
    <row r="15">
      <c r="B15" s="15">
        <v>22.0</v>
      </c>
      <c r="C15" s="16"/>
    </row>
    <row r="16">
      <c r="B16" s="15">
        <v>23.0</v>
      </c>
      <c r="C16" s="16"/>
    </row>
    <row r="17">
      <c r="B17" s="15">
        <v>24.0</v>
      </c>
      <c r="C17" s="16"/>
    </row>
    <row r="18">
      <c r="B18" s="15">
        <v>25.0</v>
      </c>
      <c r="C18" s="16"/>
    </row>
    <row r="19">
      <c r="B19" s="15">
        <v>26.0</v>
      </c>
      <c r="C19" s="16"/>
    </row>
    <row r="20">
      <c r="B20" s="15">
        <v>27.0</v>
      </c>
      <c r="C20" s="16"/>
    </row>
    <row r="21">
      <c r="B21" s="15">
        <v>28.0</v>
      </c>
      <c r="C21" s="16"/>
    </row>
    <row r="22">
      <c r="B22" s="15">
        <v>29.0</v>
      </c>
      <c r="C22" s="16"/>
    </row>
    <row r="23">
      <c r="B23" s="15">
        <v>30.0</v>
      </c>
      <c r="C23" s="74">
        <v>95.0</v>
      </c>
    </row>
    <row r="24">
      <c r="B24" s="15">
        <v>31.0</v>
      </c>
      <c r="C24" s="74">
        <v>608.0</v>
      </c>
    </row>
    <row r="25">
      <c r="B25" s="15">
        <v>32.0</v>
      </c>
      <c r="C25" s="74">
        <v>50.0</v>
      </c>
    </row>
    <row r="26">
      <c r="B26" s="15">
        <v>33.0</v>
      </c>
      <c r="C26" s="74">
        <v>118.63</v>
      </c>
    </row>
    <row r="27">
      <c r="B27" s="15">
        <v>34.0</v>
      </c>
      <c r="C27" s="74">
        <v>243.0</v>
      </c>
    </row>
    <row r="28">
      <c r="B28" s="15">
        <v>35.0</v>
      </c>
      <c r="C28" s="74">
        <v>540.0</v>
      </c>
    </row>
    <row r="29">
      <c r="B29" s="15">
        <v>36.0</v>
      </c>
      <c r="C29" s="74">
        <v>1093.5</v>
      </c>
    </row>
    <row r="30">
      <c r="B30" s="15">
        <v>37.0</v>
      </c>
      <c r="C30" s="74">
        <v>1007.5</v>
      </c>
    </row>
    <row r="31">
      <c r="B31" s="15">
        <v>38.0</v>
      </c>
      <c r="C31" s="74">
        <v>1015.0</v>
      </c>
    </row>
    <row r="32">
      <c r="B32" s="15">
        <v>39.0</v>
      </c>
      <c r="C32" s="74">
        <v>1649.5</v>
      </c>
    </row>
    <row r="33">
      <c r="B33" s="15">
        <v>40.0</v>
      </c>
      <c r="C33" s="74">
        <v>1509.0</v>
      </c>
    </row>
    <row r="34">
      <c r="B34" s="15">
        <v>41.0</v>
      </c>
      <c r="C34" s="74">
        <v>1761.0</v>
      </c>
    </row>
    <row r="35">
      <c r="B35" s="15">
        <v>42.0</v>
      </c>
      <c r="C35" s="74">
        <v>1842.5</v>
      </c>
    </row>
    <row r="36">
      <c r="B36" s="15">
        <v>43.0</v>
      </c>
      <c r="C36" s="74">
        <v>1338.5</v>
      </c>
    </row>
    <row r="37">
      <c r="B37" s="15">
        <v>44.0</v>
      </c>
      <c r="C37" s="74">
        <v>986.5</v>
      </c>
    </row>
    <row r="38">
      <c r="B38" s="15">
        <v>45.0</v>
      </c>
      <c r="C38" s="74">
        <v>915.0</v>
      </c>
    </row>
    <row r="39">
      <c r="B39" s="23">
        <v>46.0</v>
      </c>
      <c r="C39" s="75">
        <v>168.0</v>
      </c>
    </row>
    <row r="40">
      <c r="B40" s="27" t="s">
        <v>7</v>
      </c>
      <c r="C40" s="65">
        <f>SUM(C7:C39)</f>
        <v>14940.63</v>
      </c>
    </row>
  </sheetData>
  <mergeCells count="1">
    <mergeCell ref="B5:C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2" t="s">
        <v>2</v>
      </c>
      <c r="C5" s="3"/>
    </row>
    <row r="6">
      <c r="B6" s="6" t="s">
        <v>8</v>
      </c>
      <c r="C6" s="6" t="s">
        <v>9</v>
      </c>
    </row>
    <row r="7">
      <c r="B7" s="10">
        <v>14.0</v>
      </c>
      <c r="C7" s="11"/>
    </row>
    <row r="8">
      <c r="B8" s="15">
        <v>15.0</v>
      </c>
      <c r="C8" s="16"/>
    </row>
    <row r="9">
      <c r="B9" s="15">
        <v>16.0</v>
      </c>
      <c r="C9" s="16"/>
    </row>
    <row r="10">
      <c r="B10" s="15">
        <v>17.0</v>
      </c>
      <c r="C10" s="16"/>
    </row>
    <row r="11">
      <c r="B11" s="15">
        <v>18.0</v>
      </c>
      <c r="C11" s="16"/>
    </row>
    <row r="12">
      <c r="B12" s="15">
        <v>19.0</v>
      </c>
      <c r="C12" s="16"/>
    </row>
    <row r="13">
      <c r="B13" s="15">
        <v>20.0</v>
      </c>
      <c r="C13" s="16"/>
    </row>
    <row r="14">
      <c r="B14" s="15">
        <v>21.0</v>
      </c>
      <c r="C14" s="16"/>
    </row>
    <row r="15">
      <c r="B15" s="15">
        <v>22.0</v>
      </c>
      <c r="C15" s="16"/>
    </row>
    <row r="16">
      <c r="B16" s="15">
        <v>23.0</v>
      </c>
      <c r="C16" s="16"/>
    </row>
    <row r="17">
      <c r="B17" s="15">
        <v>24.0</v>
      </c>
      <c r="C17" s="16"/>
    </row>
    <row r="18">
      <c r="B18" s="15">
        <v>25.0</v>
      </c>
      <c r="C18" s="16"/>
    </row>
    <row r="19">
      <c r="B19" s="15">
        <v>26.0</v>
      </c>
      <c r="C19" s="16"/>
    </row>
    <row r="20">
      <c r="B20" s="15">
        <v>27.0</v>
      </c>
      <c r="C20" s="16"/>
    </row>
    <row r="21">
      <c r="B21" s="15">
        <v>28.0</v>
      </c>
      <c r="C21" s="16"/>
    </row>
    <row r="22">
      <c r="B22" s="15">
        <v>29.0</v>
      </c>
      <c r="C22" s="19">
        <v>2000.0</v>
      </c>
    </row>
    <row r="23">
      <c r="B23" s="15">
        <v>30.0</v>
      </c>
      <c r="C23" s="19">
        <v>2000.0</v>
      </c>
    </row>
    <row r="24">
      <c r="B24" s="15">
        <v>31.0</v>
      </c>
      <c r="C24" s="16"/>
    </row>
    <row r="25">
      <c r="B25" s="15">
        <v>32.0</v>
      </c>
      <c r="C25" s="16"/>
    </row>
    <row r="26">
      <c r="B26" s="15">
        <v>33.0</v>
      </c>
      <c r="C26" s="16"/>
    </row>
    <row r="27">
      <c r="B27" s="15">
        <v>34.0</v>
      </c>
      <c r="C27" s="16"/>
    </row>
    <row r="28">
      <c r="B28" s="15">
        <v>35.0</v>
      </c>
      <c r="C28" s="16"/>
    </row>
    <row r="29">
      <c r="B29" s="15">
        <v>36.0</v>
      </c>
      <c r="C29" s="16"/>
    </row>
    <row r="30">
      <c r="B30" s="15">
        <v>37.0</v>
      </c>
      <c r="C30" s="16"/>
    </row>
    <row r="31">
      <c r="B31" s="15">
        <v>38.0</v>
      </c>
      <c r="C31" s="16"/>
    </row>
    <row r="32">
      <c r="B32" s="15">
        <v>39.0</v>
      </c>
      <c r="C32" s="16"/>
    </row>
    <row r="33">
      <c r="B33" s="15">
        <v>40.0</v>
      </c>
      <c r="C33" s="16"/>
    </row>
    <row r="34">
      <c r="B34" s="15">
        <v>41.0</v>
      </c>
      <c r="C34" s="16"/>
    </row>
    <row r="35">
      <c r="B35" s="15">
        <v>42.0</v>
      </c>
      <c r="C35" s="16"/>
    </row>
    <row r="36">
      <c r="B36" s="15">
        <v>43.0</v>
      </c>
      <c r="C36" s="16"/>
    </row>
    <row r="37">
      <c r="B37" s="15">
        <v>44.0</v>
      </c>
      <c r="C37" s="16"/>
    </row>
    <row r="38">
      <c r="B38" s="15">
        <v>45.0</v>
      </c>
      <c r="C38" s="16"/>
    </row>
    <row r="39">
      <c r="B39" s="23">
        <v>46.0</v>
      </c>
      <c r="C39" s="24"/>
    </row>
    <row r="40">
      <c r="B40" s="27" t="s">
        <v>7</v>
      </c>
      <c r="C40" s="28">
        <f>SUM(C7:C39)</f>
        <v>4000</v>
      </c>
    </row>
  </sheetData>
  <mergeCells count="1">
    <mergeCell ref="B5:C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7" max="11" width="12.63"/>
  </cols>
  <sheetData>
    <row r="1" ht="225.0" customHeight="1"/>
    <row r="3" ht="22.5" customHeight="1">
      <c r="A3" s="76" t="s">
        <v>33</v>
      </c>
      <c r="B3" s="76" t="s">
        <v>34</v>
      </c>
    </row>
    <row r="4" ht="22.5" customHeight="1">
      <c r="A4" s="77">
        <v>22.0</v>
      </c>
      <c r="B4" s="78">
        <v>174.4</v>
      </c>
    </row>
    <row r="5" ht="22.5" customHeight="1">
      <c r="A5" s="77">
        <v>23.0</v>
      </c>
      <c r="B5" s="78">
        <v>1000.0</v>
      </c>
    </row>
    <row r="6" ht="22.5" customHeight="1">
      <c r="A6" s="77">
        <v>24.0</v>
      </c>
      <c r="B6" s="78">
        <v>2524.0</v>
      </c>
      <c r="G6" s="79"/>
    </row>
    <row r="7" ht="22.5" customHeight="1">
      <c r="A7" s="77">
        <v>25.0</v>
      </c>
      <c r="B7" s="78">
        <v>4559.0</v>
      </c>
    </row>
    <row r="8" ht="22.5" customHeight="1">
      <c r="A8" s="77">
        <v>26.0</v>
      </c>
      <c r="B8" s="78">
        <v>7441.0</v>
      </c>
    </row>
    <row r="9" ht="22.5" customHeight="1">
      <c r="A9" s="77">
        <v>27.0</v>
      </c>
      <c r="B9" s="78">
        <v>9300.0</v>
      </c>
    </row>
    <row r="10" ht="22.5" customHeight="1">
      <c r="A10" s="77">
        <v>28.0</v>
      </c>
      <c r="B10" s="78">
        <v>10500.0</v>
      </c>
    </row>
    <row r="11" ht="22.5" customHeight="1">
      <c r="A11" s="77">
        <v>29.0</v>
      </c>
      <c r="B11" s="78">
        <v>9000.0</v>
      </c>
    </row>
    <row r="12" ht="22.5" customHeight="1">
      <c r="A12" s="77">
        <v>30.0</v>
      </c>
      <c r="B12" s="78">
        <v>6500.0</v>
      </c>
    </row>
    <row r="13" ht="22.5" customHeight="1">
      <c r="A13" s="77">
        <v>31.0</v>
      </c>
      <c r="B13" s="78">
        <v>5500.0</v>
      </c>
    </row>
    <row r="14" ht="22.5" customHeight="1">
      <c r="A14" s="77">
        <v>32.0</v>
      </c>
      <c r="B14" s="78">
        <v>5000.0</v>
      </c>
    </row>
    <row r="15" ht="22.5" customHeight="1">
      <c r="A15" s="77">
        <v>33.0</v>
      </c>
      <c r="B15" s="78">
        <v>4000.0</v>
      </c>
    </row>
    <row r="16" ht="22.5" customHeight="1">
      <c r="A16" s="77">
        <v>34.0</v>
      </c>
      <c r="B16" s="78">
        <v>4500.0</v>
      </c>
    </row>
    <row r="17" ht="22.5" customHeight="1">
      <c r="A17" s="77">
        <v>35.0</v>
      </c>
      <c r="B17" s="78">
        <v>4500.0</v>
      </c>
    </row>
    <row r="18" ht="22.5" customHeight="1">
      <c r="A18" s="77">
        <v>36.0</v>
      </c>
      <c r="B18" s="78">
        <v>4000.0</v>
      </c>
    </row>
    <row r="19" ht="22.5" customHeight="1">
      <c r="A19" s="77">
        <v>37.0</v>
      </c>
      <c r="B19" s="78">
        <v>3500.0</v>
      </c>
    </row>
    <row r="20" ht="22.5" customHeight="1">
      <c r="A20" s="77">
        <v>38.0</v>
      </c>
      <c r="B20" s="78">
        <v>3500.0</v>
      </c>
    </row>
    <row r="21" ht="22.5" customHeight="1">
      <c r="A21" s="77">
        <v>39.0</v>
      </c>
      <c r="B21" s="78">
        <v>3000.0</v>
      </c>
    </row>
    <row r="22" ht="22.5" customHeight="1">
      <c r="A22" s="77">
        <v>40.0</v>
      </c>
      <c r="B22" s="78">
        <v>2500.0</v>
      </c>
    </row>
    <row r="23" ht="22.5" customHeight="1">
      <c r="A23" s="77">
        <v>41.0</v>
      </c>
      <c r="B23" s="78">
        <v>2300.0</v>
      </c>
    </row>
    <row r="24" ht="22.5" customHeight="1">
      <c r="A24" s="77">
        <v>42.0</v>
      </c>
      <c r="B24" s="78">
        <v>1500.0</v>
      </c>
    </row>
    <row r="25" ht="22.5" customHeight="1">
      <c r="A25" s="77">
        <v>43.0</v>
      </c>
      <c r="B25" s="78">
        <v>1500.0</v>
      </c>
    </row>
    <row r="26" ht="22.5" customHeight="1">
      <c r="A26" s="77">
        <v>44.0</v>
      </c>
      <c r="B26" s="78">
        <v>1000.0</v>
      </c>
    </row>
    <row r="27" ht="22.5" customHeight="1">
      <c r="A27" s="77">
        <v>45.0</v>
      </c>
      <c r="B27" s="78">
        <v>0.0</v>
      </c>
    </row>
    <row r="28" ht="22.5" customHeight="1">
      <c r="A28" s="77">
        <v>46.0</v>
      </c>
      <c r="B28" s="78">
        <v>0.0</v>
      </c>
    </row>
  </sheetData>
  <mergeCells count="1">
    <mergeCell ref="G6:K6"/>
  </mergeCells>
  <dataValidations>
    <dataValidation type="custom" allowBlank="1" showDropDown="1" sqref="A4:A28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